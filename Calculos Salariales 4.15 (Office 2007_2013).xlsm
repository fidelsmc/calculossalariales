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2.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6.xml" ContentType="application/vnd.openxmlformats-officedocument.drawing+xml"/>
  <Override PartName="/xl/ctrlProps/ctrlProp5.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omments7.xml" ContentType="application/vnd.openxmlformats-officedocument.spreadsheetml.comments+xml"/>
  <Override PartName="/xl/drawings/drawing8.xml" ContentType="application/vnd.openxmlformats-officedocument.drawing+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INGEMA\Desktop\cs2017\"/>
    </mc:Choice>
  </mc:AlternateContent>
  <bookViews>
    <workbookView xWindow="0" yWindow="0" windowWidth="20490" windowHeight="7155" firstSheet="1" activeTab="1"/>
  </bookViews>
  <sheets>
    <sheet name="About (2)" sheetId="16" state="hidden" r:id="rId1"/>
    <sheet name="Main" sheetId="1" r:id="rId2"/>
    <sheet name="Sueldo" sheetId="17" r:id="rId3"/>
    <sheet name="Quincena" sheetId="13" r:id="rId4"/>
    <sheet name="Descuentos" sheetId="9" r:id="rId5"/>
    <sheet name="Utilidades" sheetId="2" r:id="rId6"/>
    <sheet name="Vacaciones" sheetId="4" r:id="rId7"/>
    <sheet name="Salario Integral Calc" sheetId="19" r:id="rId8"/>
    <sheet name="Salario Integral" sheetId="11" r:id="rId9"/>
    <sheet name="Prestaciones" sheetId="3" r:id="rId10"/>
    <sheet name="InteresPres" sheetId="12" r:id="rId11"/>
    <sheet name="Cesta T" sheetId="10" r:id="rId12"/>
    <sheet name="Liquidacion" sheetId="6" r:id="rId13"/>
    <sheet name="About" sheetId="14" r:id="rId14"/>
    <sheet name="HoraExtra_BonoNoct" sheetId="18" r:id="rId15"/>
    <sheet name="FECHAS" sheetId="7" state="hidden" r:id="rId16"/>
    <sheet name="Lunes C" sheetId="8" state="hidden" r:id="rId17"/>
    <sheet name="Salario minimo" sheetId="20" r:id="rId18"/>
    <sheet name="Recibo_Pago" sheetId="21" r:id="rId19"/>
  </sheets>
  <functionGroups builtInGroupCount="18"/>
  <definedNames>
    <definedName name="_xlnm.Print_Area" localSheetId="4">Descuentos!$B$1:$D$36</definedName>
    <definedName name="_xlnm.Print_Area" localSheetId="9">Prestaciones!$B$1:$U$206</definedName>
    <definedName name="_xlnm.Print_Titles" localSheetId="9">Prestaciones!$3:$13</definedName>
  </definedNames>
  <calcPr calcId="152511"/>
</workbook>
</file>

<file path=xl/calcChain.xml><?xml version="1.0" encoding="utf-8"?>
<calcChain xmlns="http://schemas.openxmlformats.org/spreadsheetml/2006/main">
  <c r="R15" i="3" l="1"/>
  <c r="R16" i="3"/>
  <c r="R17" i="3"/>
  <c r="R18" i="3"/>
  <c r="R19" i="3"/>
  <c r="R20" i="3"/>
  <c r="R21" i="3"/>
  <c r="R22" i="3"/>
  <c r="R23" i="3"/>
  <c r="R24" i="3"/>
  <c r="R25" i="3"/>
  <c r="R26" i="3"/>
  <c r="R27" i="3"/>
  <c r="R28" i="3"/>
  <c r="R29" i="3"/>
  <c r="R30" i="3"/>
  <c r="R31" i="3"/>
  <c r="R32" i="3"/>
  <c r="R33" i="3"/>
  <c r="R34" i="3"/>
  <c r="R35" i="3"/>
  <c r="R36" i="3"/>
  <c r="R37" i="3"/>
  <c r="R38" i="3"/>
  <c r="R39" i="3"/>
  <c r="R40" i="3"/>
  <c r="R41" i="3"/>
  <c r="R42" i="3"/>
  <c r="R43" i="3"/>
  <c r="R44" i="3"/>
  <c r="R45" i="3"/>
  <c r="R46" i="3"/>
  <c r="R47" i="3"/>
  <c r="R48" i="3"/>
  <c r="R49" i="3"/>
  <c r="R50" i="3"/>
  <c r="R51" i="3"/>
  <c r="R52" i="3"/>
  <c r="R53" i="3"/>
  <c r="R54" i="3"/>
  <c r="R55" i="3"/>
  <c r="R56" i="3"/>
  <c r="R57" i="3"/>
  <c r="R58" i="3"/>
  <c r="R59" i="3"/>
  <c r="R60" i="3"/>
  <c r="R61" i="3"/>
  <c r="R62" i="3"/>
  <c r="R63" i="3"/>
  <c r="R64" i="3"/>
  <c r="R65" i="3"/>
  <c r="R66" i="3"/>
  <c r="R67" i="3"/>
  <c r="R68" i="3"/>
  <c r="R69" i="3"/>
  <c r="R70" i="3"/>
  <c r="R71" i="3"/>
  <c r="R72" i="3"/>
  <c r="R73" i="3"/>
  <c r="R74" i="3"/>
  <c r="R75" i="3"/>
  <c r="R76" i="3"/>
  <c r="R77" i="3"/>
  <c r="R78" i="3"/>
  <c r="R79" i="3"/>
  <c r="R80" i="3"/>
  <c r="R81" i="3"/>
  <c r="R82" i="3"/>
  <c r="R83" i="3"/>
  <c r="R84" i="3"/>
  <c r="R85" i="3"/>
  <c r="R86" i="3"/>
  <c r="R87" i="3"/>
  <c r="R88" i="3"/>
  <c r="R89" i="3"/>
  <c r="R90" i="3"/>
  <c r="R91" i="3"/>
  <c r="R92" i="3"/>
  <c r="R93" i="3"/>
  <c r="R94" i="3"/>
  <c r="R95" i="3"/>
  <c r="R96" i="3"/>
  <c r="R97" i="3"/>
  <c r="R98" i="3"/>
  <c r="R99" i="3"/>
  <c r="R100" i="3"/>
  <c r="R101" i="3"/>
  <c r="R102" i="3"/>
  <c r="R103" i="3"/>
  <c r="R104" i="3"/>
  <c r="R105" i="3"/>
  <c r="R106" i="3"/>
  <c r="R107" i="3"/>
  <c r="R108" i="3"/>
  <c r="R109" i="3"/>
  <c r="R110" i="3"/>
  <c r="R111" i="3"/>
  <c r="R112" i="3"/>
  <c r="R113" i="3"/>
  <c r="R114" i="3"/>
  <c r="R115" i="3"/>
  <c r="R116" i="3"/>
  <c r="R117" i="3"/>
  <c r="R118" i="3"/>
  <c r="R119" i="3"/>
  <c r="R120" i="3"/>
  <c r="R121" i="3"/>
  <c r="R122" i="3"/>
  <c r="R123" i="3"/>
  <c r="R124" i="3"/>
  <c r="R125" i="3"/>
  <c r="R126" i="3"/>
  <c r="R127" i="3"/>
  <c r="R128" i="3"/>
  <c r="R129" i="3"/>
  <c r="R130" i="3"/>
  <c r="R131" i="3"/>
  <c r="R132" i="3"/>
  <c r="R133" i="3"/>
  <c r="R134" i="3"/>
  <c r="R135" i="3"/>
  <c r="R136" i="3"/>
  <c r="R137" i="3"/>
  <c r="R138" i="3"/>
  <c r="R139" i="3"/>
  <c r="R140" i="3"/>
  <c r="R141" i="3"/>
  <c r="R142" i="3"/>
  <c r="R143" i="3"/>
  <c r="R144" i="3"/>
  <c r="R145" i="3"/>
  <c r="R146" i="3"/>
  <c r="R147" i="3"/>
  <c r="R148" i="3"/>
  <c r="R149" i="3"/>
  <c r="R150" i="3"/>
  <c r="R151" i="3"/>
  <c r="R152" i="3"/>
  <c r="R153" i="3"/>
  <c r="R154" i="3"/>
  <c r="R155" i="3"/>
  <c r="R156" i="3"/>
  <c r="R157" i="3"/>
  <c r="R158" i="3"/>
  <c r="R159" i="3"/>
  <c r="R160" i="3"/>
  <c r="R161" i="3"/>
  <c r="R162" i="3"/>
  <c r="R163" i="3"/>
  <c r="R164" i="3"/>
  <c r="R165" i="3"/>
  <c r="R166" i="3"/>
  <c r="R167" i="3"/>
  <c r="R168" i="3"/>
  <c r="R169" i="3"/>
  <c r="R170" i="3"/>
  <c r="R171" i="3"/>
  <c r="R172" i="3"/>
  <c r="R173" i="3"/>
  <c r="R174" i="3"/>
  <c r="R175" i="3"/>
  <c r="R176" i="3"/>
  <c r="R177" i="3"/>
  <c r="R178" i="3"/>
  <c r="R179" i="3"/>
  <c r="R180" i="3"/>
  <c r="R181" i="3"/>
  <c r="R182" i="3"/>
  <c r="R183" i="3"/>
  <c r="R184" i="3"/>
  <c r="R185" i="3"/>
  <c r="R186" i="3"/>
  <c r="R187" i="3"/>
  <c r="R188" i="3"/>
  <c r="R189" i="3"/>
  <c r="R190" i="3"/>
  <c r="R191" i="3"/>
  <c r="R192" i="3"/>
  <c r="R193" i="3"/>
  <c r="R194" i="3"/>
  <c r="R195" i="3"/>
  <c r="R196" i="3"/>
  <c r="R197" i="3"/>
  <c r="R198" i="3"/>
  <c r="R199" i="3"/>
  <c r="R200" i="3"/>
  <c r="R201" i="3"/>
  <c r="R202" i="3"/>
  <c r="R203" i="3"/>
  <c r="R204" i="3"/>
  <c r="R205" i="3"/>
  <c r="R206" i="3"/>
  <c r="R207" i="3"/>
  <c r="R208" i="3"/>
  <c r="R209" i="3"/>
  <c r="R210" i="3"/>
  <c r="R211" i="3"/>
  <c r="R212" i="3"/>
  <c r="R213" i="3"/>
  <c r="R214" i="3"/>
  <c r="R215" i="3"/>
  <c r="R216" i="3"/>
  <c r="R217" i="3"/>
  <c r="R218" i="3"/>
  <c r="R219" i="3"/>
  <c r="R220" i="3"/>
  <c r="R221" i="3"/>
  <c r="R222" i="3"/>
  <c r="R223" i="3"/>
  <c r="R224" i="3"/>
  <c r="R225" i="3"/>
  <c r="R226" i="3"/>
  <c r="R227" i="3"/>
  <c r="R228" i="3"/>
  <c r="R229" i="3"/>
  <c r="R230" i="3"/>
  <c r="R231" i="3"/>
  <c r="R232" i="3"/>
  <c r="R233" i="3"/>
  <c r="R234" i="3"/>
  <c r="R235" i="3"/>
  <c r="R236" i="3"/>
  <c r="R237" i="3"/>
  <c r="R238" i="3"/>
  <c r="R239" i="3"/>
  <c r="R240" i="3"/>
  <c r="R241" i="3"/>
  <c r="R242" i="3"/>
  <c r="R243" i="3"/>
  <c r="R244" i="3"/>
  <c r="R245" i="3"/>
  <c r="R246" i="3"/>
  <c r="R247" i="3"/>
  <c r="R248" i="3"/>
  <c r="R249" i="3"/>
  <c r="R250" i="3"/>
  <c r="R251" i="3"/>
  <c r="R252" i="3"/>
  <c r="R253" i="3"/>
  <c r="R254" i="3"/>
  <c r="R255" i="3"/>
  <c r="R256" i="3"/>
  <c r="R257" i="3"/>
  <c r="R258" i="3"/>
  <c r="R259" i="3"/>
  <c r="R260" i="3"/>
  <c r="R261" i="3"/>
  <c r="R262" i="3"/>
  <c r="R263" i="3"/>
  <c r="R264" i="3"/>
  <c r="R265" i="3"/>
  <c r="R266" i="3"/>
  <c r="R267" i="3"/>
  <c r="R268" i="3"/>
  <c r="R269" i="3"/>
  <c r="R270" i="3"/>
  <c r="R271" i="3"/>
  <c r="R272" i="3"/>
  <c r="R273" i="3"/>
  <c r="R274" i="3"/>
  <c r="R275" i="3"/>
  <c r="R276" i="3"/>
  <c r="R277" i="3"/>
  <c r="R278" i="3"/>
  <c r="R279" i="3"/>
  <c r="R280" i="3"/>
  <c r="R281" i="3"/>
  <c r="R282" i="3"/>
  <c r="R283" i="3"/>
  <c r="R284" i="3"/>
  <c r="R285" i="3"/>
  <c r="R286" i="3"/>
  <c r="R287" i="3"/>
  <c r="R288" i="3"/>
  <c r="R289" i="3"/>
  <c r="R290" i="3"/>
  <c r="R291" i="3"/>
  <c r="R292" i="3"/>
  <c r="R293" i="3"/>
  <c r="R294" i="3"/>
  <c r="R295" i="3"/>
  <c r="R296" i="3"/>
  <c r="R297" i="3"/>
  <c r="R298" i="3"/>
  <c r="R299" i="3"/>
  <c r="R300" i="3"/>
  <c r="R301" i="3"/>
  <c r="R302" i="3"/>
  <c r="R303" i="3"/>
  <c r="R304" i="3"/>
  <c r="R305" i="3"/>
  <c r="R306" i="3"/>
  <c r="R307" i="3"/>
  <c r="R308" i="3"/>
  <c r="R309" i="3"/>
  <c r="R310" i="3"/>
  <c r="R311" i="3"/>
  <c r="R312" i="3"/>
  <c r="R313" i="3"/>
  <c r="R314" i="3"/>
  <c r="R315" i="3"/>
  <c r="R316" i="3"/>
  <c r="R317" i="3"/>
  <c r="R318" i="3"/>
  <c r="R319" i="3"/>
  <c r="R320" i="3"/>
  <c r="R321" i="3"/>
  <c r="R322" i="3"/>
  <c r="R323" i="3"/>
  <c r="R324" i="3"/>
  <c r="R325" i="3"/>
  <c r="R326" i="3"/>
  <c r="R327" i="3"/>
  <c r="R328" i="3"/>
  <c r="R329" i="3"/>
  <c r="R330" i="3"/>
  <c r="R331" i="3"/>
  <c r="R332" i="3"/>
  <c r="R333" i="3"/>
  <c r="R334" i="3"/>
  <c r="R335" i="3"/>
  <c r="R336" i="3"/>
  <c r="R337" i="3"/>
  <c r="R338" i="3"/>
  <c r="R339" i="3"/>
  <c r="R340" i="3"/>
  <c r="R341" i="3"/>
  <c r="R342" i="3"/>
  <c r="R343" i="3"/>
  <c r="R344" i="3"/>
  <c r="R345" i="3"/>
  <c r="R346" i="3"/>
  <c r="R347" i="3"/>
  <c r="R348" i="3"/>
  <c r="R349" i="3"/>
  <c r="R350" i="3"/>
  <c r="R351" i="3"/>
  <c r="R352" i="3"/>
  <c r="R353" i="3"/>
  <c r="R354" i="3"/>
  <c r="R355" i="3"/>
  <c r="R356" i="3"/>
  <c r="R357" i="3"/>
  <c r="R358" i="3"/>
  <c r="R359" i="3"/>
  <c r="R360" i="3"/>
  <c r="R361" i="3"/>
  <c r="R362" i="3"/>
  <c r="R363" i="3"/>
  <c r="R364" i="3"/>
  <c r="R365" i="3"/>
  <c r="R366" i="3"/>
  <c r="R367" i="3"/>
  <c r="R368" i="3"/>
  <c r="R369" i="3"/>
  <c r="R370" i="3"/>
  <c r="R371" i="3"/>
  <c r="R372" i="3"/>
  <c r="R373" i="3"/>
  <c r="R374" i="3"/>
  <c r="R375" i="3"/>
  <c r="R376" i="3"/>
  <c r="R377" i="3"/>
  <c r="R378" i="3"/>
  <c r="R379" i="3"/>
  <c r="R380" i="3"/>
  <c r="R381" i="3"/>
  <c r="R382" i="3"/>
  <c r="R383" i="3"/>
  <c r="R384" i="3"/>
  <c r="R385" i="3"/>
  <c r="R14" i="3"/>
  <c r="V2" i="12"/>
  <c r="W2" i="12" s="1"/>
  <c r="C17" i="9" l="1"/>
  <c r="F9" i="21"/>
  <c r="F20" i="21" s="1"/>
  <c r="E20" i="2"/>
  <c r="B54" i="1"/>
  <c r="F26" i="4"/>
  <c r="F33" i="4" s="1"/>
  <c r="E2" i="18"/>
  <c r="E10" i="2"/>
  <c r="E11" i="2"/>
  <c r="E12" i="2"/>
  <c r="E13" i="2"/>
  <c r="E14" i="2"/>
  <c r="E15" i="2"/>
  <c r="E16" i="2"/>
  <c r="E17" i="2"/>
  <c r="E18" i="2"/>
  <c r="E19" i="2"/>
  <c r="E9" i="2"/>
  <c r="F9" i="2" s="1"/>
  <c r="F10" i="2" s="1"/>
  <c r="D10" i="19"/>
  <c r="C6" i="1"/>
  <c r="C9" i="1" s="1"/>
  <c r="C10" i="1" s="1"/>
  <c r="D7" i="19"/>
  <c r="D9" i="19"/>
  <c r="E10" i="19" s="1"/>
  <c r="D6" i="11"/>
  <c r="G7" i="3"/>
  <c r="F33" i="6" s="1"/>
  <c r="Q206" i="3"/>
  <c r="S206" i="3"/>
  <c r="T206" i="3"/>
  <c r="Q207" i="3"/>
  <c r="S207" i="3"/>
  <c r="T207" i="3"/>
  <c r="Q208" i="3"/>
  <c r="S208" i="3"/>
  <c r="T208" i="3"/>
  <c r="Q209" i="3"/>
  <c r="S209" i="3"/>
  <c r="T209" i="3"/>
  <c r="Q210" i="3"/>
  <c r="S210" i="3"/>
  <c r="T210" i="3"/>
  <c r="Q211" i="3"/>
  <c r="S211" i="3"/>
  <c r="T211" i="3"/>
  <c r="Q212" i="3"/>
  <c r="S212" i="3"/>
  <c r="T212" i="3"/>
  <c r="Q213" i="3"/>
  <c r="S213" i="3"/>
  <c r="T213" i="3"/>
  <c r="Q214" i="3"/>
  <c r="S214" i="3"/>
  <c r="T214" i="3"/>
  <c r="Q215" i="3"/>
  <c r="S215" i="3"/>
  <c r="T215" i="3"/>
  <c r="Q216" i="3"/>
  <c r="S216" i="3"/>
  <c r="T216" i="3"/>
  <c r="Q217" i="3"/>
  <c r="S217" i="3"/>
  <c r="T217" i="3"/>
  <c r="Q218" i="3"/>
  <c r="S218" i="3"/>
  <c r="T218" i="3"/>
  <c r="Q219" i="3"/>
  <c r="S219" i="3"/>
  <c r="T219" i="3"/>
  <c r="Q220" i="3"/>
  <c r="S220" i="3"/>
  <c r="T220" i="3"/>
  <c r="Q221" i="3"/>
  <c r="S221" i="3"/>
  <c r="T221" i="3"/>
  <c r="Q222" i="3"/>
  <c r="S222" i="3"/>
  <c r="T222" i="3"/>
  <c r="Q223" i="3"/>
  <c r="S223" i="3"/>
  <c r="T223" i="3"/>
  <c r="Q224" i="3"/>
  <c r="S224" i="3"/>
  <c r="T224" i="3"/>
  <c r="Q225" i="3"/>
  <c r="S225" i="3"/>
  <c r="T225" i="3"/>
  <c r="Q226" i="3"/>
  <c r="S226" i="3"/>
  <c r="T226" i="3"/>
  <c r="Q227" i="3"/>
  <c r="S227" i="3"/>
  <c r="T227" i="3"/>
  <c r="Q228" i="3"/>
  <c r="S228" i="3"/>
  <c r="T228" i="3"/>
  <c r="Q229" i="3"/>
  <c r="S229" i="3"/>
  <c r="T229" i="3"/>
  <c r="Q230" i="3"/>
  <c r="S230" i="3"/>
  <c r="T230" i="3"/>
  <c r="Q231" i="3"/>
  <c r="S231" i="3"/>
  <c r="T231" i="3"/>
  <c r="Q232" i="3"/>
  <c r="S232" i="3"/>
  <c r="T232" i="3"/>
  <c r="Q233" i="3"/>
  <c r="S233" i="3"/>
  <c r="T233" i="3"/>
  <c r="Q234" i="3"/>
  <c r="S234" i="3"/>
  <c r="T234" i="3"/>
  <c r="Q235" i="3"/>
  <c r="S235" i="3"/>
  <c r="T235" i="3"/>
  <c r="Q236" i="3"/>
  <c r="S236" i="3"/>
  <c r="T236" i="3"/>
  <c r="Q237" i="3"/>
  <c r="S237" i="3"/>
  <c r="T237" i="3"/>
  <c r="Q238" i="3"/>
  <c r="S238" i="3"/>
  <c r="T238" i="3"/>
  <c r="Q239" i="3"/>
  <c r="S239" i="3"/>
  <c r="T239" i="3"/>
  <c r="Q240" i="3"/>
  <c r="S240" i="3"/>
  <c r="T240" i="3"/>
  <c r="Q241" i="3"/>
  <c r="S241" i="3"/>
  <c r="T241" i="3"/>
  <c r="Q242" i="3"/>
  <c r="S242" i="3"/>
  <c r="T242" i="3"/>
  <c r="Q243" i="3"/>
  <c r="S243" i="3"/>
  <c r="T243" i="3"/>
  <c r="Q244" i="3"/>
  <c r="S244" i="3"/>
  <c r="T244" i="3"/>
  <c r="Q245" i="3"/>
  <c r="S245" i="3"/>
  <c r="T245" i="3"/>
  <c r="Q246" i="3"/>
  <c r="S246" i="3"/>
  <c r="T246" i="3"/>
  <c r="Q247" i="3"/>
  <c r="S247" i="3"/>
  <c r="T247" i="3"/>
  <c r="Q248" i="3"/>
  <c r="S248" i="3"/>
  <c r="T248" i="3"/>
  <c r="Q249" i="3"/>
  <c r="S249" i="3"/>
  <c r="T249" i="3"/>
  <c r="Q250" i="3"/>
  <c r="S250" i="3"/>
  <c r="T250" i="3"/>
  <c r="Q251" i="3"/>
  <c r="S251" i="3"/>
  <c r="T251" i="3"/>
  <c r="Q252" i="3"/>
  <c r="S252" i="3"/>
  <c r="T252" i="3"/>
  <c r="Q253" i="3"/>
  <c r="S253" i="3"/>
  <c r="T253" i="3"/>
  <c r="Q254" i="3"/>
  <c r="S254" i="3"/>
  <c r="T254" i="3"/>
  <c r="Q255" i="3"/>
  <c r="S255" i="3"/>
  <c r="T255" i="3"/>
  <c r="Q256" i="3"/>
  <c r="S256" i="3"/>
  <c r="T256" i="3"/>
  <c r="Q257" i="3"/>
  <c r="S257" i="3"/>
  <c r="T257" i="3"/>
  <c r="Q258" i="3"/>
  <c r="S258" i="3"/>
  <c r="T258" i="3"/>
  <c r="Q259" i="3"/>
  <c r="S259" i="3"/>
  <c r="T259" i="3"/>
  <c r="Q260" i="3"/>
  <c r="S260" i="3"/>
  <c r="T260" i="3"/>
  <c r="Q261" i="3"/>
  <c r="S261" i="3"/>
  <c r="T261" i="3"/>
  <c r="Q262" i="3"/>
  <c r="S262" i="3"/>
  <c r="T262" i="3"/>
  <c r="Q263" i="3"/>
  <c r="S263" i="3"/>
  <c r="T263" i="3"/>
  <c r="Q264" i="3"/>
  <c r="S264" i="3"/>
  <c r="T264" i="3"/>
  <c r="Q265" i="3"/>
  <c r="S265" i="3"/>
  <c r="T265" i="3"/>
  <c r="Q266" i="3"/>
  <c r="S266" i="3"/>
  <c r="T266" i="3"/>
  <c r="Q267" i="3"/>
  <c r="S267" i="3"/>
  <c r="T267" i="3"/>
  <c r="Q268" i="3"/>
  <c r="S268" i="3"/>
  <c r="T268" i="3"/>
  <c r="Q269" i="3"/>
  <c r="S269" i="3"/>
  <c r="T269" i="3"/>
  <c r="Q270" i="3"/>
  <c r="S270" i="3"/>
  <c r="T270" i="3"/>
  <c r="Q271" i="3"/>
  <c r="S271" i="3"/>
  <c r="T271" i="3"/>
  <c r="Q272" i="3"/>
  <c r="S272" i="3"/>
  <c r="T272" i="3"/>
  <c r="Q273" i="3"/>
  <c r="S273" i="3"/>
  <c r="T273" i="3"/>
  <c r="Q274" i="3"/>
  <c r="S274" i="3"/>
  <c r="T274" i="3"/>
  <c r="Q275" i="3"/>
  <c r="S275" i="3"/>
  <c r="T275" i="3"/>
  <c r="Q276" i="3"/>
  <c r="S276" i="3"/>
  <c r="T276" i="3"/>
  <c r="Q277" i="3"/>
  <c r="S277" i="3"/>
  <c r="T277" i="3"/>
  <c r="Q278" i="3"/>
  <c r="S278" i="3"/>
  <c r="T278" i="3"/>
  <c r="Q279" i="3"/>
  <c r="S279" i="3"/>
  <c r="T279" i="3"/>
  <c r="Q280" i="3"/>
  <c r="S280" i="3"/>
  <c r="T280" i="3"/>
  <c r="Q281" i="3"/>
  <c r="S281" i="3"/>
  <c r="T281" i="3"/>
  <c r="Q282" i="3"/>
  <c r="S282" i="3"/>
  <c r="T282" i="3"/>
  <c r="Q283" i="3"/>
  <c r="S283" i="3"/>
  <c r="T283" i="3"/>
  <c r="Q284" i="3"/>
  <c r="S284" i="3"/>
  <c r="T284" i="3"/>
  <c r="Q285" i="3"/>
  <c r="S285" i="3"/>
  <c r="T285" i="3"/>
  <c r="Q286" i="3"/>
  <c r="S286" i="3"/>
  <c r="T286" i="3"/>
  <c r="Q287" i="3"/>
  <c r="S287" i="3"/>
  <c r="T287" i="3"/>
  <c r="Q288" i="3"/>
  <c r="S288" i="3"/>
  <c r="T288" i="3"/>
  <c r="Q289" i="3"/>
  <c r="S289" i="3"/>
  <c r="T289" i="3"/>
  <c r="Q290" i="3"/>
  <c r="S290" i="3"/>
  <c r="T290" i="3"/>
  <c r="Q291" i="3"/>
  <c r="S291" i="3"/>
  <c r="T291" i="3"/>
  <c r="Q292" i="3"/>
  <c r="S292" i="3"/>
  <c r="T292" i="3"/>
  <c r="Q293" i="3"/>
  <c r="S293" i="3"/>
  <c r="T293" i="3"/>
  <c r="Q294" i="3"/>
  <c r="S294" i="3"/>
  <c r="T294" i="3"/>
  <c r="Q295" i="3"/>
  <c r="S295" i="3"/>
  <c r="T295" i="3"/>
  <c r="Q296" i="3"/>
  <c r="S296" i="3"/>
  <c r="T296" i="3"/>
  <c r="Q297" i="3"/>
  <c r="S297" i="3"/>
  <c r="T297" i="3"/>
  <c r="Q298" i="3"/>
  <c r="S298" i="3"/>
  <c r="T298" i="3"/>
  <c r="Q299" i="3"/>
  <c r="S299" i="3"/>
  <c r="T299" i="3"/>
  <c r="Q300" i="3"/>
  <c r="S300" i="3"/>
  <c r="T300" i="3"/>
  <c r="Q301" i="3"/>
  <c r="S301" i="3"/>
  <c r="T301" i="3"/>
  <c r="Q302" i="3"/>
  <c r="S302" i="3"/>
  <c r="T302" i="3"/>
  <c r="Q303" i="3"/>
  <c r="S303" i="3"/>
  <c r="T303" i="3"/>
  <c r="Q304" i="3"/>
  <c r="S304" i="3"/>
  <c r="T304" i="3"/>
  <c r="Q305" i="3"/>
  <c r="S305" i="3"/>
  <c r="T305" i="3"/>
  <c r="Q306" i="3"/>
  <c r="S306" i="3"/>
  <c r="T306" i="3"/>
  <c r="Q307" i="3"/>
  <c r="S307" i="3"/>
  <c r="T307" i="3"/>
  <c r="Q308" i="3"/>
  <c r="S308" i="3"/>
  <c r="T308" i="3"/>
  <c r="Q309" i="3"/>
  <c r="S309" i="3"/>
  <c r="T309" i="3"/>
  <c r="Q310" i="3"/>
  <c r="S310" i="3"/>
  <c r="T310" i="3"/>
  <c r="Q311" i="3"/>
  <c r="S311" i="3"/>
  <c r="T311" i="3"/>
  <c r="Q312" i="3"/>
  <c r="S312" i="3"/>
  <c r="T312" i="3"/>
  <c r="Q313" i="3"/>
  <c r="S313" i="3"/>
  <c r="T313" i="3"/>
  <c r="Q314" i="3"/>
  <c r="S314" i="3"/>
  <c r="T314" i="3"/>
  <c r="Q315" i="3"/>
  <c r="S315" i="3"/>
  <c r="T315" i="3"/>
  <c r="Q316" i="3"/>
  <c r="S316" i="3"/>
  <c r="T316" i="3"/>
  <c r="Q317" i="3"/>
  <c r="S317" i="3"/>
  <c r="T317" i="3"/>
  <c r="Q318" i="3"/>
  <c r="S318" i="3"/>
  <c r="T318" i="3"/>
  <c r="Q319" i="3"/>
  <c r="S319" i="3"/>
  <c r="T319" i="3"/>
  <c r="Q320" i="3"/>
  <c r="S320" i="3"/>
  <c r="T320" i="3"/>
  <c r="Q321" i="3"/>
  <c r="S321" i="3"/>
  <c r="T321" i="3"/>
  <c r="Q322" i="3"/>
  <c r="S322" i="3"/>
  <c r="T322" i="3"/>
  <c r="Q323" i="3"/>
  <c r="S323" i="3"/>
  <c r="T323" i="3"/>
  <c r="Q324" i="3"/>
  <c r="S324" i="3"/>
  <c r="T324" i="3"/>
  <c r="Q325" i="3"/>
  <c r="S325" i="3"/>
  <c r="T325" i="3"/>
  <c r="Q326" i="3"/>
  <c r="S326" i="3"/>
  <c r="T326" i="3"/>
  <c r="Q327" i="3"/>
  <c r="S327" i="3"/>
  <c r="T327" i="3"/>
  <c r="Q328" i="3"/>
  <c r="S328" i="3"/>
  <c r="T328" i="3"/>
  <c r="Q329" i="3"/>
  <c r="S329" i="3"/>
  <c r="T329" i="3"/>
  <c r="Q330" i="3"/>
  <c r="S330" i="3"/>
  <c r="T330" i="3"/>
  <c r="Q331" i="3"/>
  <c r="S331" i="3"/>
  <c r="T331" i="3"/>
  <c r="Q332" i="3"/>
  <c r="S332" i="3"/>
  <c r="T332" i="3"/>
  <c r="Q333" i="3"/>
  <c r="S333" i="3"/>
  <c r="T333" i="3"/>
  <c r="Q334" i="3"/>
  <c r="S334" i="3"/>
  <c r="T334" i="3"/>
  <c r="Q335" i="3"/>
  <c r="S335" i="3"/>
  <c r="T335" i="3"/>
  <c r="Q336" i="3"/>
  <c r="S336" i="3"/>
  <c r="T336" i="3"/>
  <c r="Q337" i="3"/>
  <c r="S337" i="3"/>
  <c r="T337" i="3"/>
  <c r="Q338" i="3"/>
  <c r="S338" i="3"/>
  <c r="T338" i="3"/>
  <c r="Q339" i="3"/>
  <c r="S339" i="3"/>
  <c r="T339" i="3"/>
  <c r="Q340" i="3"/>
  <c r="S340" i="3"/>
  <c r="T340" i="3"/>
  <c r="Q341" i="3"/>
  <c r="S341" i="3"/>
  <c r="T341" i="3"/>
  <c r="Q342" i="3"/>
  <c r="S342" i="3"/>
  <c r="T342" i="3"/>
  <c r="Q343" i="3"/>
  <c r="S343" i="3"/>
  <c r="T343" i="3"/>
  <c r="Q344" i="3"/>
  <c r="S344" i="3"/>
  <c r="T344" i="3"/>
  <c r="Q345" i="3"/>
  <c r="S345" i="3"/>
  <c r="T345" i="3"/>
  <c r="Q346" i="3"/>
  <c r="S346" i="3"/>
  <c r="T346" i="3"/>
  <c r="Q347" i="3"/>
  <c r="S347" i="3"/>
  <c r="T347" i="3"/>
  <c r="Q348" i="3"/>
  <c r="S348" i="3"/>
  <c r="T348" i="3"/>
  <c r="Q349" i="3"/>
  <c r="S349" i="3"/>
  <c r="T349" i="3"/>
  <c r="Q350" i="3"/>
  <c r="S350" i="3"/>
  <c r="T350" i="3"/>
  <c r="Q351" i="3"/>
  <c r="S351" i="3"/>
  <c r="T351" i="3"/>
  <c r="Q352" i="3"/>
  <c r="S352" i="3"/>
  <c r="T352" i="3"/>
  <c r="Q353" i="3"/>
  <c r="S353" i="3"/>
  <c r="T353" i="3"/>
  <c r="Q354" i="3"/>
  <c r="S354" i="3"/>
  <c r="T354" i="3"/>
  <c r="Q355" i="3"/>
  <c r="S355" i="3"/>
  <c r="T355" i="3"/>
  <c r="Q356" i="3"/>
  <c r="S356" i="3"/>
  <c r="T356" i="3"/>
  <c r="Q357" i="3"/>
  <c r="S357" i="3"/>
  <c r="T357" i="3"/>
  <c r="Q358" i="3"/>
  <c r="S358" i="3"/>
  <c r="T358" i="3"/>
  <c r="Q359" i="3"/>
  <c r="S359" i="3"/>
  <c r="T359" i="3"/>
  <c r="Q360" i="3"/>
  <c r="S360" i="3"/>
  <c r="T360" i="3"/>
  <c r="Q361" i="3"/>
  <c r="S361" i="3"/>
  <c r="T361" i="3"/>
  <c r="Q362" i="3"/>
  <c r="S362" i="3"/>
  <c r="T362" i="3"/>
  <c r="Q363" i="3"/>
  <c r="S363" i="3"/>
  <c r="T363" i="3"/>
  <c r="Q364" i="3"/>
  <c r="S364" i="3"/>
  <c r="T364" i="3"/>
  <c r="Q365" i="3"/>
  <c r="S365" i="3"/>
  <c r="T365" i="3"/>
  <c r="Q366" i="3"/>
  <c r="S366" i="3"/>
  <c r="T366" i="3"/>
  <c r="Q367" i="3"/>
  <c r="S367" i="3"/>
  <c r="T367" i="3"/>
  <c r="Q368" i="3"/>
  <c r="S368" i="3"/>
  <c r="T368" i="3"/>
  <c r="Q369" i="3"/>
  <c r="S369" i="3"/>
  <c r="T369" i="3"/>
  <c r="Q370" i="3"/>
  <c r="S370" i="3"/>
  <c r="T370" i="3"/>
  <c r="Q371" i="3"/>
  <c r="S371" i="3"/>
  <c r="T371" i="3"/>
  <c r="Q372" i="3"/>
  <c r="S372" i="3"/>
  <c r="T372" i="3"/>
  <c r="Q373" i="3"/>
  <c r="S373" i="3"/>
  <c r="T373" i="3"/>
  <c r="Q374" i="3"/>
  <c r="S374" i="3"/>
  <c r="T374" i="3"/>
  <c r="Q375" i="3"/>
  <c r="S375" i="3"/>
  <c r="T375" i="3"/>
  <c r="Q376" i="3"/>
  <c r="S376" i="3"/>
  <c r="T376" i="3"/>
  <c r="Q377" i="3"/>
  <c r="S377" i="3"/>
  <c r="T377" i="3"/>
  <c r="Q378" i="3"/>
  <c r="S378" i="3"/>
  <c r="T378" i="3"/>
  <c r="Q379" i="3"/>
  <c r="S379" i="3"/>
  <c r="T379" i="3"/>
  <c r="Q380" i="3"/>
  <c r="S380" i="3"/>
  <c r="T380" i="3"/>
  <c r="Q381" i="3"/>
  <c r="S381" i="3"/>
  <c r="T381" i="3"/>
  <c r="Q382" i="3"/>
  <c r="S382" i="3"/>
  <c r="T382" i="3"/>
  <c r="Q383" i="3"/>
  <c r="S383" i="3"/>
  <c r="T383" i="3"/>
  <c r="Q384" i="3"/>
  <c r="S384" i="3"/>
  <c r="T384" i="3"/>
  <c r="Q385" i="3"/>
  <c r="S385" i="3"/>
  <c r="T385" i="3"/>
  <c r="Q51" i="3"/>
  <c r="Q52" i="3"/>
  <c r="Q53" i="3"/>
  <c r="Q54" i="3"/>
  <c r="Q55" i="3"/>
  <c r="Q56" i="3"/>
  <c r="Q57" i="3"/>
  <c r="Q58" i="3"/>
  <c r="Q59" i="3"/>
  <c r="Q60" i="3"/>
  <c r="Q61" i="3"/>
  <c r="Q62" i="3"/>
  <c r="Q63" i="3"/>
  <c r="Q64" i="3"/>
  <c r="Q65" i="3"/>
  <c r="Q66" i="3"/>
  <c r="Q67" i="3"/>
  <c r="Q68" i="3"/>
  <c r="Q69" i="3"/>
  <c r="Q70" i="3"/>
  <c r="Q71" i="3"/>
  <c r="Q72" i="3"/>
  <c r="Q73" i="3"/>
  <c r="Q74" i="3"/>
  <c r="Q75" i="3"/>
  <c r="Q76" i="3"/>
  <c r="Q77" i="3"/>
  <c r="Q78" i="3"/>
  <c r="Q79" i="3"/>
  <c r="Q80" i="3"/>
  <c r="Q81" i="3"/>
  <c r="Q82" i="3"/>
  <c r="Q83" i="3"/>
  <c r="Q84" i="3"/>
  <c r="Q85" i="3"/>
  <c r="Q86" i="3"/>
  <c r="Q87" i="3"/>
  <c r="Q88" i="3"/>
  <c r="Q89" i="3"/>
  <c r="Q90" i="3"/>
  <c r="Q91" i="3"/>
  <c r="Q92" i="3"/>
  <c r="Q93" i="3"/>
  <c r="Q94" i="3"/>
  <c r="Q95" i="3"/>
  <c r="Q96" i="3"/>
  <c r="Q97" i="3"/>
  <c r="Q98" i="3"/>
  <c r="Q99" i="3"/>
  <c r="Q100" i="3"/>
  <c r="Q101" i="3"/>
  <c r="Q102" i="3"/>
  <c r="Q103" i="3"/>
  <c r="Q104" i="3"/>
  <c r="Q105" i="3"/>
  <c r="Q106" i="3"/>
  <c r="Q107" i="3"/>
  <c r="Q108" i="3"/>
  <c r="Q109" i="3"/>
  <c r="Q110" i="3"/>
  <c r="Q111" i="3"/>
  <c r="Q112" i="3"/>
  <c r="Q113" i="3"/>
  <c r="Q114" i="3"/>
  <c r="Q115" i="3"/>
  <c r="Q116" i="3"/>
  <c r="Q117" i="3"/>
  <c r="Q118" i="3"/>
  <c r="Q119" i="3"/>
  <c r="Q120" i="3"/>
  <c r="Q121" i="3"/>
  <c r="Q122" i="3"/>
  <c r="Q123" i="3"/>
  <c r="Q124" i="3"/>
  <c r="Q125" i="3"/>
  <c r="Q126" i="3"/>
  <c r="Q127" i="3"/>
  <c r="Q128" i="3"/>
  <c r="Q129" i="3"/>
  <c r="Q130" i="3"/>
  <c r="Q131" i="3"/>
  <c r="Q132" i="3"/>
  <c r="Q133" i="3"/>
  <c r="Q134" i="3"/>
  <c r="Q135" i="3"/>
  <c r="Q136" i="3"/>
  <c r="Q137" i="3"/>
  <c r="Q138" i="3"/>
  <c r="Q139" i="3"/>
  <c r="Q140" i="3"/>
  <c r="Q141" i="3"/>
  <c r="Q142" i="3"/>
  <c r="Q143" i="3"/>
  <c r="Q144" i="3"/>
  <c r="Q145" i="3"/>
  <c r="Q146" i="3"/>
  <c r="Q147" i="3"/>
  <c r="Q148" i="3"/>
  <c r="Q149" i="3"/>
  <c r="Q150" i="3"/>
  <c r="Q151" i="3"/>
  <c r="Q152" i="3"/>
  <c r="Q153" i="3"/>
  <c r="Q154" i="3"/>
  <c r="Q155" i="3"/>
  <c r="Q156" i="3"/>
  <c r="Q157" i="3"/>
  <c r="Q158" i="3"/>
  <c r="Q159" i="3"/>
  <c r="Q160" i="3"/>
  <c r="Q161" i="3"/>
  <c r="Q162" i="3"/>
  <c r="Q163" i="3"/>
  <c r="Q164" i="3"/>
  <c r="Q165" i="3"/>
  <c r="Q166" i="3"/>
  <c r="Q167" i="3"/>
  <c r="Q168" i="3"/>
  <c r="Q169" i="3"/>
  <c r="Q170" i="3"/>
  <c r="Q171" i="3"/>
  <c r="Q172" i="3"/>
  <c r="Q173" i="3"/>
  <c r="Q174" i="3"/>
  <c r="Q175" i="3"/>
  <c r="Q176" i="3"/>
  <c r="Q177" i="3"/>
  <c r="Q178" i="3"/>
  <c r="Q179" i="3"/>
  <c r="Q180" i="3"/>
  <c r="Q181" i="3"/>
  <c r="Q182" i="3"/>
  <c r="Q183" i="3"/>
  <c r="Q184" i="3"/>
  <c r="Q185" i="3"/>
  <c r="Q186" i="3"/>
  <c r="Q187" i="3"/>
  <c r="Q188" i="3"/>
  <c r="Q189" i="3"/>
  <c r="Q190" i="3"/>
  <c r="Q191" i="3"/>
  <c r="Q192" i="3"/>
  <c r="Q193" i="3"/>
  <c r="Q194" i="3"/>
  <c r="Q195" i="3"/>
  <c r="Q196" i="3"/>
  <c r="Q197" i="3"/>
  <c r="Q198" i="3"/>
  <c r="Q199" i="3"/>
  <c r="Q200" i="3"/>
  <c r="Q201" i="3"/>
  <c r="Q202" i="3"/>
  <c r="Q203" i="3"/>
  <c r="Q204" i="3"/>
  <c r="Q205" i="3"/>
  <c r="C5" i="10"/>
  <c r="L7" i="1"/>
  <c r="D8" i="13"/>
  <c r="C32" i="6"/>
  <c r="C24" i="6"/>
  <c r="D2" i="12"/>
  <c r="E2" i="12" s="1"/>
  <c r="F2" i="12" s="1"/>
  <c r="G2" i="12" s="1"/>
  <c r="H2" i="12" s="1"/>
  <c r="I2" i="12" s="1"/>
  <c r="J2" i="12" s="1"/>
  <c r="K2" i="12" s="1"/>
  <c r="L2" i="12" s="1"/>
  <c r="M2" i="12" s="1"/>
  <c r="N2" i="12" s="1"/>
  <c r="O2" i="12" s="1"/>
  <c r="P2" i="12" s="1"/>
  <c r="Q2" i="12" s="1"/>
  <c r="R2" i="12" s="1"/>
  <c r="S2" i="12" s="1"/>
  <c r="T2" i="12" s="1"/>
  <c r="U2" i="12" s="1"/>
  <c r="E2" i="3"/>
  <c r="B2" i="3"/>
  <c r="J14" i="3"/>
  <c r="S51" i="3"/>
  <c r="T51" i="3"/>
  <c r="S52" i="3"/>
  <c r="T52" i="3"/>
  <c r="S53" i="3"/>
  <c r="T53" i="3"/>
  <c r="S54" i="3"/>
  <c r="T54" i="3"/>
  <c r="S55" i="3"/>
  <c r="T55" i="3"/>
  <c r="S56" i="3"/>
  <c r="T56" i="3"/>
  <c r="S57" i="3"/>
  <c r="T57" i="3"/>
  <c r="S58" i="3"/>
  <c r="T58" i="3"/>
  <c r="S59" i="3"/>
  <c r="T59" i="3"/>
  <c r="S60" i="3"/>
  <c r="T60" i="3"/>
  <c r="S61" i="3"/>
  <c r="T61" i="3"/>
  <c r="S62" i="3"/>
  <c r="T62" i="3"/>
  <c r="S63" i="3"/>
  <c r="T63" i="3"/>
  <c r="S64" i="3"/>
  <c r="T64" i="3"/>
  <c r="S65" i="3"/>
  <c r="T65" i="3"/>
  <c r="S66" i="3"/>
  <c r="T66" i="3"/>
  <c r="S67" i="3"/>
  <c r="T67" i="3"/>
  <c r="S68" i="3"/>
  <c r="T68" i="3"/>
  <c r="S69" i="3"/>
  <c r="T69" i="3"/>
  <c r="S70" i="3"/>
  <c r="T70" i="3"/>
  <c r="S71" i="3"/>
  <c r="T71" i="3"/>
  <c r="S72" i="3"/>
  <c r="T72" i="3"/>
  <c r="S73" i="3"/>
  <c r="T73" i="3"/>
  <c r="S74" i="3"/>
  <c r="T74" i="3"/>
  <c r="S75" i="3"/>
  <c r="T75" i="3"/>
  <c r="S76" i="3"/>
  <c r="T76" i="3"/>
  <c r="S77" i="3"/>
  <c r="T77" i="3"/>
  <c r="S78" i="3"/>
  <c r="T78" i="3"/>
  <c r="S79" i="3"/>
  <c r="T79" i="3"/>
  <c r="S80" i="3"/>
  <c r="T80" i="3"/>
  <c r="S81" i="3"/>
  <c r="T81" i="3"/>
  <c r="S82" i="3"/>
  <c r="T82" i="3"/>
  <c r="S83" i="3"/>
  <c r="T83" i="3"/>
  <c r="S84" i="3"/>
  <c r="T84" i="3"/>
  <c r="S85" i="3"/>
  <c r="T85" i="3"/>
  <c r="S86" i="3"/>
  <c r="T86" i="3"/>
  <c r="S87" i="3"/>
  <c r="T87" i="3"/>
  <c r="S88" i="3"/>
  <c r="T88" i="3"/>
  <c r="S89" i="3"/>
  <c r="T89" i="3"/>
  <c r="S90" i="3"/>
  <c r="T90" i="3"/>
  <c r="S91" i="3"/>
  <c r="T91" i="3"/>
  <c r="S92" i="3"/>
  <c r="T92" i="3"/>
  <c r="S93" i="3"/>
  <c r="T93" i="3"/>
  <c r="S94" i="3"/>
  <c r="T94" i="3"/>
  <c r="S95" i="3"/>
  <c r="T95" i="3"/>
  <c r="S96" i="3"/>
  <c r="T96" i="3"/>
  <c r="S97" i="3"/>
  <c r="T97" i="3"/>
  <c r="S98" i="3"/>
  <c r="T98" i="3"/>
  <c r="S99" i="3"/>
  <c r="T99" i="3"/>
  <c r="S100" i="3"/>
  <c r="T100" i="3"/>
  <c r="S101" i="3"/>
  <c r="T101" i="3"/>
  <c r="S102" i="3"/>
  <c r="T102" i="3"/>
  <c r="S103" i="3"/>
  <c r="T103" i="3"/>
  <c r="S104" i="3"/>
  <c r="T104" i="3"/>
  <c r="S105" i="3"/>
  <c r="T105" i="3"/>
  <c r="S106" i="3"/>
  <c r="T106" i="3"/>
  <c r="S107" i="3"/>
  <c r="T107" i="3"/>
  <c r="S108" i="3"/>
  <c r="T108" i="3"/>
  <c r="S109" i="3"/>
  <c r="T109" i="3"/>
  <c r="S110" i="3"/>
  <c r="T110" i="3"/>
  <c r="S111" i="3"/>
  <c r="T111" i="3"/>
  <c r="S112" i="3"/>
  <c r="T112" i="3"/>
  <c r="S113" i="3"/>
  <c r="T113" i="3"/>
  <c r="S114" i="3"/>
  <c r="T114" i="3"/>
  <c r="S115" i="3"/>
  <c r="T115" i="3"/>
  <c r="S116" i="3"/>
  <c r="T116" i="3"/>
  <c r="S117" i="3"/>
  <c r="T117" i="3"/>
  <c r="S118" i="3"/>
  <c r="T118" i="3"/>
  <c r="S119" i="3"/>
  <c r="T119" i="3"/>
  <c r="S120" i="3"/>
  <c r="T120" i="3"/>
  <c r="S121" i="3"/>
  <c r="T121" i="3"/>
  <c r="S122" i="3"/>
  <c r="T122" i="3"/>
  <c r="S123" i="3"/>
  <c r="T123" i="3"/>
  <c r="S124" i="3"/>
  <c r="T124" i="3"/>
  <c r="S125" i="3"/>
  <c r="T125" i="3"/>
  <c r="S126" i="3"/>
  <c r="T126" i="3"/>
  <c r="S127" i="3"/>
  <c r="T127" i="3"/>
  <c r="S128" i="3"/>
  <c r="T128" i="3"/>
  <c r="S129" i="3"/>
  <c r="T129" i="3"/>
  <c r="S130" i="3"/>
  <c r="T130" i="3"/>
  <c r="S131" i="3"/>
  <c r="T131" i="3"/>
  <c r="S132" i="3"/>
  <c r="T132" i="3"/>
  <c r="S133" i="3"/>
  <c r="T133" i="3"/>
  <c r="S134" i="3"/>
  <c r="T134" i="3"/>
  <c r="S135" i="3"/>
  <c r="T135" i="3"/>
  <c r="S136" i="3"/>
  <c r="T136" i="3"/>
  <c r="S137" i="3"/>
  <c r="T137" i="3"/>
  <c r="S138" i="3"/>
  <c r="T138" i="3"/>
  <c r="S139" i="3"/>
  <c r="T139" i="3"/>
  <c r="S140" i="3"/>
  <c r="T140" i="3"/>
  <c r="S141" i="3"/>
  <c r="T141" i="3"/>
  <c r="S142" i="3"/>
  <c r="T142" i="3"/>
  <c r="S143" i="3"/>
  <c r="T143" i="3"/>
  <c r="S144" i="3"/>
  <c r="T144" i="3"/>
  <c r="S145" i="3"/>
  <c r="T145" i="3"/>
  <c r="S146" i="3"/>
  <c r="T146" i="3"/>
  <c r="S147" i="3"/>
  <c r="T147" i="3"/>
  <c r="S148" i="3"/>
  <c r="T148" i="3"/>
  <c r="S149" i="3"/>
  <c r="T149" i="3"/>
  <c r="S150" i="3"/>
  <c r="T150" i="3"/>
  <c r="S151" i="3"/>
  <c r="T151" i="3"/>
  <c r="S152" i="3"/>
  <c r="T152" i="3"/>
  <c r="S153" i="3"/>
  <c r="T153" i="3"/>
  <c r="S154" i="3"/>
  <c r="T154" i="3"/>
  <c r="S155" i="3"/>
  <c r="T155" i="3"/>
  <c r="S156" i="3"/>
  <c r="T156" i="3"/>
  <c r="S157" i="3"/>
  <c r="T157" i="3"/>
  <c r="S158" i="3"/>
  <c r="T158" i="3"/>
  <c r="S159" i="3"/>
  <c r="T159" i="3"/>
  <c r="S160" i="3"/>
  <c r="T160" i="3"/>
  <c r="S161" i="3"/>
  <c r="T161" i="3"/>
  <c r="S162" i="3"/>
  <c r="T162" i="3"/>
  <c r="S163" i="3"/>
  <c r="T163" i="3"/>
  <c r="S164" i="3"/>
  <c r="T164" i="3"/>
  <c r="S165" i="3"/>
  <c r="T165" i="3"/>
  <c r="S166" i="3"/>
  <c r="T166" i="3"/>
  <c r="S167" i="3"/>
  <c r="T167" i="3"/>
  <c r="S168" i="3"/>
  <c r="T168" i="3"/>
  <c r="S169" i="3"/>
  <c r="T169" i="3"/>
  <c r="S170" i="3"/>
  <c r="T170" i="3"/>
  <c r="S171" i="3"/>
  <c r="T171" i="3"/>
  <c r="S172" i="3"/>
  <c r="T172" i="3"/>
  <c r="S173" i="3"/>
  <c r="T173" i="3"/>
  <c r="S174" i="3"/>
  <c r="T174" i="3"/>
  <c r="S175" i="3"/>
  <c r="T175" i="3"/>
  <c r="S176" i="3"/>
  <c r="T176" i="3"/>
  <c r="S177" i="3"/>
  <c r="T177" i="3"/>
  <c r="S178" i="3"/>
  <c r="T178" i="3"/>
  <c r="S179" i="3"/>
  <c r="T179" i="3"/>
  <c r="S180" i="3"/>
  <c r="T180" i="3"/>
  <c r="S181" i="3"/>
  <c r="T181" i="3"/>
  <c r="S182" i="3"/>
  <c r="T182" i="3"/>
  <c r="S183" i="3"/>
  <c r="T183" i="3"/>
  <c r="S184" i="3"/>
  <c r="T184" i="3"/>
  <c r="S185" i="3"/>
  <c r="T185" i="3"/>
  <c r="S186" i="3"/>
  <c r="T186" i="3"/>
  <c r="S187" i="3"/>
  <c r="T187" i="3"/>
  <c r="S188" i="3"/>
  <c r="T188" i="3"/>
  <c r="S189" i="3"/>
  <c r="T189" i="3"/>
  <c r="S190" i="3"/>
  <c r="T190" i="3"/>
  <c r="S191" i="3"/>
  <c r="T191" i="3"/>
  <c r="S192" i="3"/>
  <c r="T192" i="3"/>
  <c r="S193" i="3"/>
  <c r="T193" i="3"/>
  <c r="S194" i="3"/>
  <c r="T194" i="3"/>
  <c r="S195" i="3"/>
  <c r="T195" i="3"/>
  <c r="S196" i="3"/>
  <c r="T196" i="3"/>
  <c r="S197" i="3"/>
  <c r="T197" i="3"/>
  <c r="S198" i="3"/>
  <c r="T198" i="3"/>
  <c r="S199" i="3"/>
  <c r="T199" i="3"/>
  <c r="S200" i="3"/>
  <c r="T200" i="3"/>
  <c r="S201" i="3"/>
  <c r="T201" i="3"/>
  <c r="S202" i="3"/>
  <c r="T202" i="3"/>
  <c r="S203" i="3"/>
  <c r="T203" i="3"/>
  <c r="S204" i="3"/>
  <c r="T204" i="3"/>
  <c r="S205" i="3"/>
  <c r="T205" i="3"/>
  <c r="C3" i="10"/>
  <c r="C7" i="9"/>
  <c r="C19" i="9" s="1"/>
  <c r="C5" i="9"/>
  <c r="D14" i="3"/>
  <c r="K14" i="3" s="1"/>
  <c r="D15" i="3"/>
  <c r="E14" i="3"/>
  <c r="C14" i="3"/>
  <c r="M14" i="3"/>
  <c r="G15" i="3"/>
  <c r="H15" i="3"/>
  <c r="J15" i="3" s="1"/>
  <c r="C4" i="2"/>
  <c r="Q50" i="3"/>
  <c r="S50" i="3"/>
  <c r="T50" i="3"/>
  <c r="E7" i="19"/>
  <c r="F32" i="4"/>
  <c r="K15" i="3"/>
  <c r="C15" i="3"/>
  <c r="M15" i="3" s="1"/>
  <c r="F11" i="2" l="1"/>
  <c r="F12" i="2" s="1"/>
  <c r="F13" i="2" s="1"/>
  <c r="F14" i="2" s="1"/>
  <c r="F15" i="2" s="1"/>
  <c r="C7" i="10"/>
  <c r="H22" i="1" s="1"/>
  <c r="D25" i="4"/>
  <c r="G16" i="3"/>
  <c r="H16" i="3"/>
  <c r="N14" i="3"/>
  <c r="O14" i="3" s="1"/>
  <c r="Q14" i="3" s="1"/>
  <c r="F16" i="2"/>
  <c r="F17" i="2" s="1"/>
  <c r="F18" i="2" s="1"/>
  <c r="F19" i="2" s="1"/>
  <c r="F20" i="2" s="1"/>
  <c r="F26" i="2" s="1"/>
  <c r="G17" i="3"/>
  <c r="H17" i="3"/>
  <c r="J16" i="3"/>
  <c r="S14" i="3"/>
  <c r="T14" i="3" s="1"/>
  <c r="E15" i="3"/>
  <c r="D16" i="3"/>
  <c r="C16" i="3"/>
  <c r="D4" i="4"/>
  <c r="F4" i="4" s="1"/>
  <c r="B1" i="8"/>
  <c r="D24" i="4"/>
  <c r="C11" i="1"/>
  <c r="F10" i="6"/>
  <c r="F11" i="6" s="1"/>
  <c r="D23" i="4"/>
  <c r="B2" i="8"/>
  <c r="J15" i="6"/>
  <c r="F46" i="4"/>
  <c r="F47" i="4" s="1"/>
  <c r="I58" i="3"/>
  <c r="I226" i="3"/>
  <c r="I317" i="3"/>
  <c r="I88" i="3"/>
  <c r="I298" i="3"/>
  <c r="I245" i="3"/>
  <c r="I91" i="3"/>
  <c r="I25" i="3"/>
  <c r="I204" i="3"/>
  <c r="I229" i="3"/>
  <c r="I112" i="3"/>
  <c r="I35" i="3"/>
  <c r="I337" i="3"/>
  <c r="I73" i="3"/>
  <c r="I174" i="3"/>
  <c r="I125" i="3"/>
  <c r="I161" i="3"/>
  <c r="I12" i="18"/>
  <c r="I191" i="3"/>
  <c r="I280" i="3"/>
  <c r="I331" i="3"/>
  <c r="I314" i="3"/>
  <c r="I121" i="3"/>
  <c r="I326" i="3"/>
  <c r="I309" i="3"/>
  <c r="I85" i="3"/>
  <c r="I122" i="3"/>
  <c r="I321" i="3"/>
  <c r="I22" i="3"/>
  <c r="I227" i="3"/>
  <c r="I304" i="3"/>
  <c r="I343" i="3"/>
  <c r="I376" i="3"/>
  <c r="I92" i="3"/>
  <c r="I165" i="3"/>
  <c r="I313" i="3"/>
  <c r="I117" i="3"/>
  <c r="I118" i="3"/>
  <c r="I49" i="3"/>
  <c r="I351" i="3"/>
  <c r="I315" i="3"/>
  <c r="I90" i="3"/>
  <c r="I198" i="3"/>
  <c r="I44" i="3"/>
  <c r="I100" i="3"/>
  <c r="I257" i="3"/>
  <c r="I382" i="3"/>
  <c r="I156" i="3"/>
  <c r="I168" i="3"/>
  <c r="I132" i="3"/>
  <c r="I258" i="3"/>
  <c r="I305" i="3"/>
  <c r="I253" i="3"/>
  <c r="I318" i="3"/>
  <c r="I283" i="3"/>
  <c r="I123" i="3"/>
  <c r="I292" i="3"/>
  <c r="I266" i="3"/>
  <c r="I359" i="3"/>
  <c r="I286" i="3"/>
  <c r="I228" i="3"/>
  <c r="J13" i="18"/>
  <c r="I316" i="3"/>
  <c r="I240" i="3"/>
  <c r="L17" i="18"/>
  <c r="I105" i="3"/>
  <c r="I272" i="3"/>
  <c r="I15" i="3"/>
  <c r="J17" i="18"/>
  <c r="I32" i="3"/>
  <c r="I46" i="3"/>
  <c r="I34" i="3"/>
  <c r="L13" i="18"/>
  <c r="I202" i="3"/>
  <c r="I219" i="3"/>
  <c r="I80" i="3"/>
  <c r="I293" i="3"/>
  <c r="I346" i="3"/>
  <c r="I273" i="3"/>
  <c r="I50" i="3"/>
  <c r="K15" i="18"/>
  <c r="I290" i="3"/>
  <c r="I308" i="3"/>
  <c r="I269" i="3"/>
  <c r="I340" i="3"/>
  <c r="I271" i="3"/>
  <c r="I29" i="3"/>
  <c r="I82" i="3"/>
  <c r="I374" i="3"/>
  <c r="I284" i="3"/>
  <c r="I36" i="3"/>
  <c r="I275" i="3"/>
  <c r="I378" i="3"/>
  <c r="I260" i="3"/>
  <c r="I338" i="3"/>
  <c r="I368" i="3"/>
  <c r="I329" i="3"/>
  <c r="I306" i="3"/>
  <c r="I74" i="3"/>
  <c r="I363" i="3"/>
  <c r="I216" i="3"/>
  <c r="I183" i="3"/>
  <c r="I39" i="3"/>
  <c r="I104" i="3"/>
  <c r="J14" i="18"/>
  <c r="I17" i="18"/>
  <c r="I56" i="3"/>
  <c r="I364" i="3"/>
  <c r="I68" i="3"/>
  <c r="I153" i="3"/>
  <c r="I322" i="3"/>
  <c r="I252" i="3"/>
  <c r="L15" i="18"/>
  <c r="I81" i="3"/>
  <c r="J16" i="18"/>
  <c r="I95" i="3"/>
  <c r="I43" i="3"/>
  <c r="I147" i="3"/>
  <c r="J12" i="18"/>
  <c r="I366" i="3"/>
  <c r="I347" i="3"/>
  <c r="I303" i="3"/>
  <c r="I54" i="3"/>
  <c r="I109" i="3"/>
  <c r="I149" i="3"/>
  <c r="I170" i="3"/>
  <c r="I330" i="3"/>
  <c r="I301" i="3"/>
  <c r="I350" i="3"/>
  <c r="I302" i="3"/>
  <c r="I262" i="3"/>
  <c r="I232" i="3"/>
  <c r="I177" i="3"/>
  <c r="I172" i="3"/>
  <c r="I131" i="3"/>
  <c r="I230" i="3"/>
  <c r="I30" i="3"/>
  <c r="I67" i="3"/>
  <c r="I295" i="3"/>
  <c r="I145" i="3"/>
  <c r="I38" i="3"/>
  <c r="I235" i="3"/>
  <c r="L16" i="18"/>
  <c r="I129" i="3"/>
  <c r="I127" i="3"/>
  <c r="I94" i="3"/>
  <c r="I77" i="3"/>
  <c r="I17" i="3"/>
  <c r="I78" i="3"/>
  <c r="I55" i="3"/>
  <c r="I327" i="3"/>
  <c r="L14" i="18"/>
  <c r="I194" i="3"/>
  <c r="I106" i="3"/>
  <c r="I160" i="3"/>
  <c r="I362" i="3"/>
  <c r="I203" i="3"/>
  <c r="I237" i="3"/>
  <c r="I179" i="3"/>
  <c r="I148" i="3"/>
  <c r="I169" i="3"/>
  <c r="I213" i="3"/>
  <c r="I76" i="3"/>
  <c r="I300" i="3"/>
  <c r="I65" i="3"/>
  <c r="I164" i="3"/>
  <c r="I37" i="3"/>
  <c r="L18" i="18"/>
  <c r="I162" i="3"/>
  <c r="I355" i="3"/>
  <c r="I239" i="3"/>
  <c r="I188" i="3"/>
  <c r="I332" i="3"/>
  <c r="I224" i="3"/>
  <c r="I13" i="18"/>
  <c r="I369" i="3"/>
  <c r="I128" i="3"/>
  <c r="I26" i="3"/>
  <c r="I21" i="3"/>
  <c r="I285" i="3"/>
  <c r="I96" i="3"/>
  <c r="I64" i="3"/>
  <c r="I107" i="3"/>
  <c r="I86" i="3"/>
  <c r="I167" i="3"/>
  <c r="I71" i="3"/>
  <c r="I97" i="3"/>
  <c r="I193" i="3"/>
  <c r="D6" i="17"/>
  <c r="I270" i="3"/>
  <c r="I190" i="3"/>
  <c r="I259" i="3"/>
  <c r="I33" i="3"/>
  <c r="I59" i="3"/>
  <c r="I134" i="3"/>
  <c r="I345" i="3"/>
  <c r="I358" i="3"/>
  <c r="I70" i="3"/>
  <c r="I371" i="3"/>
  <c r="I255" i="3"/>
  <c r="I335" i="3"/>
  <c r="I185" i="3"/>
  <c r="K17" i="18"/>
  <c r="I289" i="3"/>
  <c r="I197" i="3"/>
  <c r="I223" i="3"/>
  <c r="I211" i="3"/>
  <c r="I176" i="3"/>
  <c r="I274" i="3"/>
  <c r="I75" i="3"/>
  <c r="I139" i="3"/>
  <c r="I15" i="18"/>
  <c r="I69" i="3"/>
  <c r="I287" i="3"/>
  <c r="I209" i="3"/>
  <c r="I307" i="3"/>
  <c r="I138" i="3"/>
  <c r="I288" i="3"/>
  <c r="I195" i="3"/>
  <c r="I297" i="3"/>
  <c r="I200" i="3"/>
  <c r="I175" i="3"/>
  <c r="I222" i="3"/>
  <c r="I291" i="3"/>
  <c r="I282" i="3"/>
  <c r="I324" i="3"/>
  <c r="I45" i="3"/>
  <c r="I184" i="3"/>
  <c r="I385" i="3"/>
  <c r="I360" i="3"/>
  <c r="I178" i="3"/>
  <c r="I241" i="3"/>
  <c r="I18" i="18"/>
  <c r="I372" i="3"/>
  <c r="I157" i="3"/>
  <c r="I79" i="3"/>
  <c r="I152" i="3"/>
  <c r="I27" i="3"/>
  <c r="I212" i="3"/>
  <c r="I349" i="3"/>
  <c r="I278" i="3"/>
  <c r="I310" i="3"/>
  <c r="I294" i="3"/>
  <c r="I18" i="3"/>
  <c r="I357" i="3"/>
  <c r="I236" i="3"/>
  <c r="I246" i="3"/>
  <c r="I137" i="3"/>
  <c r="I89" i="3"/>
  <c r="I171" i="3"/>
  <c r="I323" i="3"/>
  <c r="I268" i="3"/>
  <c r="I201" i="3"/>
  <c r="I217" i="3"/>
  <c r="I231" i="3"/>
  <c r="I124" i="3"/>
  <c r="K12" i="18"/>
  <c r="I93" i="3"/>
  <c r="I16" i="3"/>
  <c r="I120" i="3"/>
  <c r="I57" i="3"/>
  <c r="I339" i="3"/>
  <c r="I119" i="3"/>
  <c r="I319" i="3"/>
  <c r="I234" i="3"/>
  <c r="I220" i="3"/>
  <c r="I214" i="3"/>
  <c r="I218" i="3"/>
  <c r="I243" i="3"/>
  <c r="I276" i="3"/>
  <c r="I186" i="3"/>
  <c r="I263" i="3"/>
  <c r="I166" i="3"/>
  <c r="I238" i="3"/>
  <c r="I63" i="3"/>
  <c r="I342" i="3"/>
  <c r="I367" i="3"/>
  <c r="I72" i="3"/>
  <c r="I199" i="3"/>
  <c r="I277" i="3"/>
  <c r="I251" i="3"/>
  <c r="I40" i="3"/>
  <c r="I370" i="3"/>
  <c r="K16" i="18"/>
  <c r="I247" i="3"/>
  <c r="I146" i="3"/>
  <c r="I155" i="3"/>
  <c r="I279" i="3"/>
  <c r="I205" i="3"/>
  <c r="I20" i="3"/>
  <c r="I353" i="3"/>
  <c r="I41" i="3"/>
  <c r="I113" i="3"/>
  <c r="I173" i="3"/>
  <c r="I221" i="3"/>
  <c r="K13" i="18"/>
  <c r="I31" i="3"/>
  <c r="I182" i="3"/>
  <c r="I98" i="3"/>
  <c r="I250" i="3"/>
  <c r="I52" i="3"/>
  <c r="I99" i="3"/>
  <c r="I312" i="3"/>
  <c r="I384" i="3"/>
  <c r="I381" i="3"/>
  <c r="I103" i="3"/>
  <c r="K18" i="18"/>
  <c r="I102" i="3"/>
  <c r="I344" i="3"/>
  <c r="I265" i="3"/>
  <c r="I130" i="3"/>
  <c r="L12" i="18"/>
  <c r="I264" i="3"/>
  <c r="I51" i="3"/>
  <c r="I365" i="3"/>
  <c r="I60" i="3"/>
  <c r="I192" i="3"/>
  <c r="I135" i="3"/>
  <c r="I108" i="3"/>
  <c r="I233" i="3"/>
  <c r="I281" i="3"/>
  <c r="I84" i="3"/>
  <c r="I181" i="3"/>
  <c r="I334" i="3"/>
  <c r="I267" i="3"/>
  <c r="I47" i="3"/>
  <c r="I296" i="3"/>
  <c r="I225" i="3"/>
  <c r="I215" i="3"/>
  <c r="I299" i="3"/>
  <c r="I111" i="3"/>
  <c r="I210" i="3"/>
  <c r="I333" i="3"/>
  <c r="I320" i="3"/>
  <c r="I83" i="3"/>
  <c r="I383" i="3"/>
  <c r="I336" i="3"/>
  <c r="I380" i="3"/>
  <c r="I311" i="3"/>
  <c r="I126" i="3"/>
  <c r="I189" i="3"/>
  <c r="I136" i="3"/>
  <c r="I116" i="3"/>
  <c r="I361" i="3"/>
  <c r="I62" i="3"/>
  <c r="J15" i="18"/>
  <c r="I101" i="3"/>
  <c r="I207" i="3"/>
  <c r="I28" i="3"/>
  <c r="I115" i="3"/>
  <c r="I256" i="3"/>
  <c r="I325" i="3"/>
  <c r="I180" i="3"/>
  <c r="I144" i="3"/>
  <c r="I143" i="3"/>
  <c r="I61" i="3"/>
  <c r="I140" i="3"/>
  <c r="I150" i="3"/>
  <c r="I187" i="3"/>
  <c r="I375" i="3"/>
  <c r="I208" i="3"/>
  <c r="I254" i="3"/>
  <c r="I87" i="3"/>
  <c r="I48" i="3"/>
  <c r="I159" i="3"/>
  <c r="I163" i="3"/>
  <c r="I141" i="3"/>
  <c r="I158" i="3"/>
  <c r="I348" i="3"/>
  <c r="I133" i="3"/>
  <c r="I16" i="18"/>
  <c r="I373" i="3"/>
  <c r="I114" i="3"/>
  <c r="I206" i="3"/>
  <c r="I354" i="3"/>
  <c r="I23" i="3"/>
  <c r="I14" i="18"/>
  <c r="I19" i="3"/>
  <c r="I352" i="3"/>
  <c r="I196" i="3"/>
  <c r="I328" i="3"/>
  <c r="I66" i="3"/>
  <c r="I379" i="3"/>
  <c r="I261" i="3"/>
  <c r="I248" i="3"/>
  <c r="I356" i="3"/>
  <c r="K14" i="18"/>
  <c r="I341" i="3"/>
  <c r="I154" i="3"/>
  <c r="I110" i="3"/>
  <c r="I377" i="3"/>
  <c r="I42" i="3"/>
  <c r="I53" i="3"/>
  <c r="I249" i="3"/>
  <c r="I244" i="3"/>
  <c r="I142" i="3"/>
  <c r="I151" i="3"/>
  <c r="I242" i="3"/>
  <c r="I24" i="3"/>
  <c r="J18" i="18"/>
  <c r="F22" i="2" l="1"/>
  <c r="F28" i="2" s="1"/>
  <c r="F30" i="18"/>
  <c r="G25" i="18"/>
  <c r="G26" i="18"/>
  <c r="E30" i="18"/>
  <c r="I30" i="18" s="1"/>
  <c r="M18" i="18"/>
  <c r="G27" i="18"/>
  <c r="G28" i="18"/>
  <c r="H25" i="18"/>
  <c r="M15" i="18"/>
  <c r="E27" i="18"/>
  <c r="E25" i="18"/>
  <c r="M13" i="18"/>
  <c r="F29" i="18"/>
  <c r="N15" i="3"/>
  <c r="O15" i="3" s="1"/>
  <c r="E26" i="18"/>
  <c r="M14" i="18"/>
  <c r="F24" i="18"/>
  <c r="J19" i="18"/>
  <c r="H29" i="18"/>
  <c r="F27" i="18"/>
  <c r="I27" i="18" s="1"/>
  <c r="F25" i="18"/>
  <c r="F28" i="18"/>
  <c r="H27" i="18"/>
  <c r="G29" i="18"/>
  <c r="E28" i="18"/>
  <c r="M16" i="18"/>
  <c r="H30" i="18"/>
  <c r="E29" i="18"/>
  <c r="I29" i="18" s="1"/>
  <c r="M17" i="18"/>
  <c r="F26" i="18"/>
  <c r="C8" i="1"/>
  <c r="E4" i="11" s="1"/>
  <c r="E7" i="11" s="1"/>
  <c r="H26" i="18"/>
  <c r="I26" i="18" s="1"/>
  <c r="L19" i="18"/>
  <c r="H24" i="18"/>
  <c r="G24" i="18"/>
  <c r="I24" i="18" s="1"/>
  <c r="K19" i="18"/>
  <c r="I19" i="18"/>
  <c r="E24" i="18"/>
  <c r="M12" i="18"/>
  <c r="H28" i="18"/>
  <c r="I28" i="18" s="1"/>
  <c r="G30" i="18"/>
  <c r="L21" i="18"/>
  <c r="M16" i="3"/>
  <c r="N16" i="3" s="1"/>
  <c r="O16" i="3" s="1"/>
  <c r="L16" i="3"/>
  <c r="D10" i="13"/>
  <c r="M9" i="1" s="1"/>
  <c r="F12" i="6"/>
  <c r="F13" i="6" s="1"/>
  <c r="C16" i="9"/>
  <c r="C18" i="9" s="1"/>
  <c r="D17" i="3"/>
  <c r="E16" i="3"/>
  <c r="C17" i="3"/>
  <c r="K16" i="3"/>
  <c r="H18" i="3"/>
  <c r="J17" i="3"/>
  <c r="G18" i="3"/>
  <c r="Q15" i="3"/>
  <c r="S15" i="3" s="1"/>
  <c r="T15" i="3" s="1"/>
  <c r="B4" i="8"/>
  <c r="C4" i="8" s="1"/>
  <c r="C16" i="6"/>
  <c r="G16" i="2"/>
  <c r="G18" i="2"/>
  <c r="G12" i="2"/>
  <c r="G11" i="2"/>
  <c r="G10" i="2"/>
  <c r="G14" i="2"/>
  <c r="E9" i="4"/>
  <c r="E11" i="4" s="1"/>
  <c r="F30" i="4" s="1"/>
  <c r="G9" i="2"/>
  <c r="G13" i="2"/>
  <c r="G20" i="2"/>
  <c r="G17" i="2"/>
  <c r="G19" i="2"/>
  <c r="E16" i="4"/>
  <c r="E18" i="4" s="1"/>
  <c r="G15" i="2"/>
  <c r="D4" i="11" l="1"/>
  <c r="C4" i="9"/>
  <c r="C6" i="9" s="1"/>
  <c r="D7" i="11"/>
  <c r="I25" i="18"/>
  <c r="K32" i="18" s="1"/>
  <c r="C28" i="9"/>
  <c r="C31" i="9" s="1"/>
  <c r="F27" i="21" s="1"/>
  <c r="D12" i="13"/>
  <c r="G19" i="3"/>
  <c r="H19" i="3"/>
  <c r="F30" i="6"/>
  <c r="H12" i="1"/>
  <c r="L17" i="3"/>
  <c r="M17" i="3"/>
  <c r="N17" i="3" s="1"/>
  <c r="O17" i="3" s="1"/>
  <c r="E17" i="3"/>
  <c r="D18" i="3"/>
  <c r="K17" i="3"/>
  <c r="C18" i="3"/>
  <c r="Q16" i="3"/>
  <c r="S16" i="3" s="1"/>
  <c r="T16" i="3" s="1"/>
  <c r="B5" i="8"/>
  <c r="C5" i="8" s="1"/>
  <c r="F31" i="4"/>
  <c r="F34" i="4" s="1"/>
  <c r="D9" i="11"/>
  <c r="E10" i="11" s="1"/>
  <c r="E11" i="11" s="1"/>
  <c r="D12" i="19"/>
  <c r="E13" i="19" s="1"/>
  <c r="E14" i="19" s="1"/>
  <c r="E17" i="19" s="1"/>
  <c r="D13" i="19"/>
  <c r="D10" i="11"/>
  <c r="H20" i="3" l="1"/>
  <c r="G20" i="3"/>
  <c r="C19" i="3"/>
  <c r="D19" i="3"/>
  <c r="E18" i="3"/>
  <c r="K18" i="3"/>
  <c r="L18" i="3"/>
  <c r="M18" i="3"/>
  <c r="N18" i="3" s="1"/>
  <c r="O18" i="3" s="1"/>
  <c r="Q17" i="3"/>
  <c r="S17" i="3" s="1"/>
  <c r="T17" i="3" s="1"/>
  <c r="B6" i="8"/>
  <c r="B7" i="8" s="1"/>
  <c r="E13" i="11"/>
  <c r="F16" i="6"/>
  <c r="F39" i="4"/>
  <c r="F38" i="4"/>
  <c r="F37" i="4"/>
  <c r="Q18" i="3" l="1"/>
  <c r="S18" i="3" s="1"/>
  <c r="T18" i="3" s="1"/>
  <c r="L19" i="3"/>
  <c r="M19" i="3"/>
  <c r="N19" i="3" s="1"/>
  <c r="O19" i="3" s="1"/>
  <c r="G21" i="3"/>
  <c r="H21" i="3"/>
  <c r="E19" i="3"/>
  <c r="D20" i="3"/>
  <c r="C20" i="3"/>
  <c r="K19" i="3"/>
  <c r="C6" i="8"/>
  <c r="G4" i="3"/>
  <c r="D7" i="17"/>
  <c r="F40" i="4"/>
  <c r="C7" i="8"/>
  <c r="B8" i="8"/>
  <c r="Q19" i="3" l="1"/>
  <c r="S19" i="3" s="1"/>
  <c r="T19" i="3" s="1"/>
  <c r="L20" i="3"/>
  <c r="M20" i="3"/>
  <c r="N20" i="3" s="1"/>
  <c r="O20" i="3" s="1"/>
  <c r="E20" i="3"/>
  <c r="K20" i="3"/>
  <c r="D21" i="3"/>
  <c r="C21" i="3"/>
  <c r="H22" i="3"/>
  <c r="G22" i="3"/>
  <c r="F42" i="4"/>
  <c r="F49" i="4"/>
  <c r="C8" i="8"/>
  <c r="B9" i="8"/>
  <c r="Q20" i="3" l="1"/>
  <c r="S20" i="3" s="1"/>
  <c r="T20" i="3" s="1"/>
  <c r="D22" i="3"/>
  <c r="C22" i="3"/>
  <c r="K21" i="3"/>
  <c r="E21" i="3"/>
  <c r="G23" i="3"/>
  <c r="H23" i="3"/>
  <c r="L21" i="3"/>
  <c r="M21" i="3"/>
  <c r="N21" i="3" s="1"/>
  <c r="O21" i="3" s="1"/>
  <c r="H18" i="1"/>
  <c r="F31" i="6"/>
  <c r="C9" i="8"/>
  <c r="B10" i="8"/>
  <c r="Q21" i="3" l="1"/>
  <c r="S21" i="3" s="1"/>
  <c r="T21" i="3" s="1"/>
  <c r="G24" i="3"/>
  <c r="H24" i="3"/>
  <c r="M22" i="3"/>
  <c r="N22" i="3" s="1"/>
  <c r="O22" i="3" s="1"/>
  <c r="Q22" i="3" s="1"/>
  <c r="L22" i="3"/>
  <c r="E22" i="3"/>
  <c r="C23" i="3"/>
  <c r="K22" i="3"/>
  <c r="D23" i="3"/>
  <c r="C10" i="8"/>
  <c r="B11" i="8"/>
  <c r="S22" i="3" l="1"/>
  <c r="T22" i="3" s="1"/>
  <c r="G25" i="3"/>
  <c r="H25" i="3"/>
  <c r="M23" i="3"/>
  <c r="N23" i="3" s="1"/>
  <c r="O23" i="3" s="1"/>
  <c r="Q23" i="3" s="1"/>
  <c r="L23" i="3"/>
  <c r="E23" i="3"/>
  <c r="D24" i="3"/>
  <c r="K23" i="3"/>
  <c r="C24" i="3"/>
  <c r="C11" i="8"/>
  <c r="B12" i="8"/>
  <c r="S23" i="3" l="1"/>
  <c r="T23" i="3" s="1"/>
  <c r="D25" i="3"/>
  <c r="C25" i="3"/>
  <c r="E24" i="3"/>
  <c r="K24" i="3"/>
  <c r="G26" i="3"/>
  <c r="H26" i="3"/>
  <c r="M24" i="3"/>
  <c r="N24" i="3" s="1"/>
  <c r="O24" i="3" s="1"/>
  <c r="Q24" i="3" s="1"/>
  <c r="L24" i="3"/>
  <c r="C12" i="8"/>
  <c r="B13" i="8"/>
  <c r="S24" i="3" l="1"/>
  <c r="T24" i="3" s="1"/>
  <c r="H27" i="3"/>
  <c r="G27" i="3"/>
  <c r="L25" i="3"/>
  <c r="M25" i="3"/>
  <c r="N25" i="3" s="1"/>
  <c r="O25" i="3" s="1"/>
  <c r="Q25" i="3" s="1"/>
  <c r="E25" i="3"/>
  <c r="C26" i="3"/>
  <c r="K25" i="3"/>
  <c r="D26" i="3"/>
  <c r="B14" i="8"/>
  <c r="C13" i="8"/>
  <c r="S25" i="3" l="1"/>
  <c r="T25" i="3" s="1"/>
  <c r="K26" i="3"/>
  <c r="E26" i="3"/>
  <c r="D27" i="3"/>
  <c r="C27" i="3"/>
  <c r="L26" i="3"/>
  <c r="M26" i="3"/>
  <c r="N26" i="3" s="1"/>
  <c r="O26" i="3" s="1"/>
  <c r="Q26" i="3" s="1"/>
  <c r="G28" i="3"/>
  <c r="H28" i="3"/>
  <c r="B15" i="8"/>
  <c r="C14" i="8"/>
  <c r="S26" i="3" l="1"/>
  <c r="T26" i="3" s="1"/>
  <c r="K27" i="3"/>
  <c r="C28" i="3"/>
  <c r="E27" i="3"/>
  <c r="D28" i="3"/>
  <c r="G29" i="3"/>
  <c r="H29" i="3"/>
  <c r="L27" i="3"/>
  <c r="M27" i="3"/>
  <c r="N27" i="3" s="1"/>
  <c r="O27" i="3" s="1"/>
  <c r="Q27" i="3" s="1"/>
  <c r="C15" i="8"/>
  <c r="B16" i="8"/>
  <c r="S27" i="3" l="1"/>
  <c r="T27" i="3" s="1"/>
  <c r="H30" i="3"/>
  <c r="G30" i="3"/>
  <c r="M28" i="3"/>
  <c r="L28" i="3"/>
  <c r="D29" i="3"/>
  <c r="C29" i="3"/>
  <c r="M29" i="3" s="1"/>
  <c r="K28" i="3"/>
  <c r="E28" i="3"/>
  <c r="C16" i="8"/>
  <c r="B17" i="8"/>
  <c r="N28" i="3" l="1"/>
  <c r="O28" i="3" s="1"/>
  <c r="Q28" i="3" s="1"/>
  <c r="S28" i="3" s="1"/>
  <c r="T28" i="3" s="1"/>
  <c r="E29" i="3"/>
  <c r="C30" i="3"/>
  <c r="D30" i="3"/>
  <c r="K29" i="3"/>
  <c r="N29" i="3" s="1"/>
  <c r="O29" i="3" s="1"/>
  <c r="Q29" i="3" s="1"/>
  <c r="H31" i="3"/>
  <c r="G31" i="3"/>
  <c r="C17" i="8"/>
  <c r="B18" i="8"/>
  <c r="S29" i="3" l="1"/>
  <c r="T29" i="3" s="1"/>
  <c r="M30" i="3"/>
  <c r="N30" i="3" s="1"/>
  <c r="O30" i="3" s="1"/>
  <c r="Q30" i="3" s="1"/>
  <c r="L30" i="3"/>
  <c r="H32" i="3"/>
  <c r="G32" i="3"/>
  <c r="K30" i="3"/>
  <c r="C31" i="3"/>
  <c r="E30" i="3"/>
  <c r="D31" i="3"/>
  <c r="C18" i="8"/>
  <c r="B19" i="8"/>
  <c r="S30" i="3" l="1"/>
  <c r="T30" i="3" s="1"/>
  <c r="M31" i="3"/>
  <c r="L31" i="3"/>
  <c r="D32" i="3"/>
  <c r="E31" i="3"/>
  <c r="K31" i="3"/>
  <c r="C32" i="3"/>
  <c r="G33" i="3"/>
  <c r="H33" i="3"/>
  <c r="C19" i="8"/>
  <c r="B20" i="8"/>
  <c r="N31" i="3" l="1"/>
  <c r="O31" i="3" s="1"/>
  <c r="Q31" i="3" s="1"/>
  <c r="S31" i="3" s="1"/>
  <c r="T31" i="3" s="1"/>
  <c r="G34" i="3"/>
  <c r="H34" i="3"/>
  <c r="D33" i="3"/>
  <c r="E32" i="3"/>
  <c r="K32" i="3"/>
  <c r="C33" i="3"/>
  <c r="M32" i="3"/>
  <c r="N32" i="3" s="1"/>
  <c r="O32" i="3" s="1"/>
  <c r="L32" i="3"/>
  <c r="B21" i="8"/>
  <c r="C20" i="8"/>
  <c r="Q32" i="3" l="1"/>
  <c r="S32" i="3"/>
  <c r="T32" i="3" s="1"/>
  <c r="C34" i="3"/>
  <c r="D34" i="3"/>
  <c r="E33" i="3"/>
  <c r="K33" i="3"/>
  <c r="M33" i="3"/>
  <c r="N33" i="3" s="1"/>
  <c r="O33" i="3" s="1"/>
  <c r="Q33" i="3" s="1"/>
  <c r="L33" i="3"/>
  <c r="H35" i="3"/>
  <c r="G35" i="3"/>
  <c r="C21" i="8"/>
  <c r="B22" i="8"/>
  <c r="S33" i="3" l="1"/>
  <c r="T33" i="3" s="1"/>
  <c r="H36" i="3"/>
  <c r="G36" i="3"/>
  <c r="L34" i="3"/>
  <c r="M34" i="3"/>
  <c r="N34" i="3" s="1"/>
  <c r="O34" i="3" s="1"/>
  <c r="Q34" i="3" s="1"/>
  <c r="K34" i="3"/>
  <c r="E34" i="3"/>
  <c r="D35" i="3"/>
  <c r="C35" i="3"/>
  <c r="C22" i="8"/>
  <c r="B23" i="8"/>
  <c r="L35" i="3" l="1"/>
  <c r="M35" i="3"/>
  <c r="N35" i="3" s="1"/>
  <c r="O35" i="3" s="1"/>
  <c r="Q35" i="3" s="1"/>
  <c r="C36" i="3"/>
  <c r="E35" i="3"/>
  <c r="D36" i="3"/>
  <c r="K35" i="3"/>
  <c r="S34" i="3"/>
  <c r="T34" i="3" s="1"/>
  <c r="H37" i="3"/>
  <c r="G37" i="3"/>
  <c r="B24" i="8"/>
  <c r="C23" i="8"/>
  <c r="S35" i="3" l="1"/>
  <c r="T35" i="3" s="1"/>
  <c r="L36" i="3"/>
  <c r="M36" i="3"/>
  <c r="N36" i="3" s="1"/>
  <c r="O36" i="3" s="1"/>
  <c r="Q36" i="3" s="1"/>
  <c r="G38" i="3"/>
  <c r="H38" i="3"/>
  <c r="D37" i="3"/>
  <c r="E36" i="3"/>
  <c r="C37" i="3"/>
  <c r="K36" i="3"/>
  <c r="C24" i="8"/>
  <c r="B25" i="8"/>
  <c r="S36" i="3" l="1"/>
  <c r="T36" i="3" s="1"/>
  <c r="L37" i="3"/>
  <c r="M37" i="3"/>
  <c r="C38" i="3"/>
  <c r="E37" i="3"/>
  <c r="D38" i="3"/>
  <c r="K37" i="3"/>
  <c r="H39" i="3"/>
  <c r="G39" i="3"/>
  <c r="B26" i="8"/>
  <c r="C25" i="8"/>
  <c r="N37" i="3" l="1"/>
  <c r="O37" i="3" s="1"/>
  <c r="Q37" i="3" s="1"/>
  <c r="S37" i="3" s="1"/>
  <c r="T37" i="3" s="1"/>
  <c r="G40" i="3"/>
  <c r="H40" i="3"/>
  <c r="L38" i="3"/>
  <c r="M38" i="3"/>
  <c r="N38" i="3" s="1"/>
  <c r="O38" i="3" s="1"/>
  <c r="Q38" i="3" s="1"/>
  <c r="K38" i="3"/>
  <c r="C39" i="3"/>
  <c r="D39" i="3"/>
  <c r="E38" i="3"/>
  <c r="B27" i="8"/>
  <c r="C26" i="8"/>
  <c r="S38" i="3" l="1"/>
  <c r="T38" i="3" s="1"/>
  <c r="E39" i="3"/>
  <c r="D40" i="3"/>
  <c r="K39" i="3"/>
  <c r="C40" i="3"/>
  <c r="L39" i="3"/>
  <c r="M39" i="3"/>
  <c r="H41" i="3"/>
  <c r="G41" i="3"/>
  <c r="B28" i="8"/>
  <c r="C27" i="8"/>
  <c r="N39" i="3" l="1"/>
  <c r="O39" i="3" s="1"/>
  <c r="Q39" i="3" s="1"/>
  <c r="S39" i="3" s="1"/>
  <c r="T39" i="3" s="1"/>
  <c r="C41" i="3"/>
  <c r="K40" i="3"/>
  <c r="D41" i="3"/>
  <c r="E40" i="3"/>
  <c r="H42" i="3"/>
  <c r="G42" i="3"/>
  <c r="M40" i="3"/>
  <c r="N40" i="3" s="1"/>
  <c r="O40" i="3" s="1"/>
  <c r="L40" i="3"/>
  <c r="B29" i="8"/>
  <c r="C28" i="8"/>
  <c r="Q40" i="3" l="1"/>
  <c r="S40" i="3"/>
  <c r="T40" i="3" s="1"/>
  <c r="H43" i="3"/>
  <c r="G43" i="3"/>
  <c r="E41" i="3"/>
  <c r="C42" i="3"/>
  <c r="D42" i="3"/>
  <c r="K41" i="3"/>
  <c r="M41" i="3"/>
  <c r="N41" i="3" s="1"/>
  <c r="O41" i="3" s="1"/>
  <c r="Q41" i="3" s="1"/>
  <c r="L41" i="3"/>
  <c r="B30" i="8"/>
  <c r="C29" i="8"/>
  <c r="S41" i="3" l="1"/>
  <c r="T41" i="3" s="1"/>
  <c r="K42" i="3"/>
  <c r="E42" i="3"/>
  <c r="D43" i="3"/>
  <c r="C43" i="3"/>
  <c r="G44" i="3"/>
  <c r="H44" i="3"/>
  <c r="M42" i="3"/>
  <c r="N42" i="3" s="1"/>
  <c r="O42" i="3" s="1"/>
  <c r="Q42" i="3" s="1"/>
  <c r="L42" i="3"/>
  <c r="C30" i="8"/>
  <c r="B31" i="8"/>
  <c r="S42" i="3" l="1"/>
  <c r="T42" i="3" s="1"/>
  <c r="E43" i="3"/>
  <c r="D44" i="3"/>
  <c r="C44" i="3"/>
  <c r="K43" i="3"/>
  <c r="H45" i="3"/>
  <c r="G45" i="3"/>
  <c r="M43" i="3"/>
  <c r="N43" i="3" s="1"/>
  <c r="O43" i="3" s="1"/>
  <c r="Q43" i="3" s="1"/>
  <c r="L43" i="3"/>
  <c r="C31" i="8"/>
  <c r="B32" i="8"/>
  <c r="S43" i="3" l="1"/>
  <c r="T43" i="3" s="1"/>
  <c r="M44" i="3"/>
  <c r="L44" i="3"/>
  <c r="D45" i="3"/>
  <c r="E44" i="3"/>
  <c r="K44" i="3"/>
  <c r="C45" i="3"/>
  <c r="H46" i="3"/>
  <c r="G46" i="3"/>
  <c r="C32" i="8"/>
  <c r="B33" i="8"/>
  <c r="H47" i="3" l="1"/>
  <c r="G47" i="3"/>
  <c r="E45" i="3"/>
  <c r="C46" i="3"/>
  <c r="D46" i="3"/>
  <c r="K45" i="3"/>
  <c r="L45" i="3"/>
  <c r="M45" i="3"/>
  <c r="N45" i="3" s="1"/>
  <c r="O45" i="3" s="1"/>
  <c r="N44" i="3"/>
  <c r="O44" i="3" s="1"/>
  <c r="Q44" i="3" s="1"/>
  <c r="S44" i="3" s="1"/>
  <c r="T44" i="3" s="1"/>
  <c r="C33" i="8"/>
  <c r="B34" i="8"/>
  <c r="C34" i="8" s="1"/>
  <c r="C36" i="8" l="1"/>
  <c r="C8" i="9" s="1"/>
  <c r="C20" i="9" s="1"/>
  <c r="C23" i="9" s="1"/>
  <c r="Q45" i="3"/>
  <c r="S45" i="3" s="1"/>
  <c r="T45" i="3" s="1"/>
  <c r="M46" i="3"/>
  <c r="L46" i="3"/>
  <c r="K46" i="3"/>
  <c r="C47" i="3"/>
  <c r="E46" i="3"/>
  <c r="D47" i="3"/>
  <c r="H48" i="3"/>
  <c r="G48" i="3"/>
  <c r="C11" i="9"/>
  <c r="F24" i="21" s="1"/>
  <c r="G49" i="3" l="1"/>
  <c r="H49" i="3"/>
  <c r="C48" i="3"/>
  <c r="E47" i="3"/>
  <c r="D48" i="3"/>
  <c r="K47" i="3"/>
  <c r="N46" i="3"/>
  <c r="O46" i="3" s="1"/>
  <c r="Q46" i="3" s="1"/>
  <c r="S46" i="3" s="1"/>
  <c r="T46" i="3" s="1"/>
  <c r="M47" i="3"/>
  <c r="N47" i="3" s="1"/>
  <c r="O47" i="3" s="1"/>
  <c r="L47" i="3"/>
  <c r="C36" i="9"/>
  <c r="F25" i="21"/>
  <c r="F34" i="21" s="1"/>
  <c r="Q47" i="3" l="1"/>
  <c r="S47" i="3" s="1"/>
  <c r="T47" i="3" s="1"/>
  <c r="L48" i="3"/>
  <c r="M48" i="3"/>
  <c r="G50" i="3"/>
  <c r="H50" i="3"/>
  <c r="C49" i="3"/>
  <c r="E48" i="3"/>
  <c r="D49" i="3"/>
  <c r="K48" i="3"/>
  <c r="H15" i="1"/>
  <c r="D13" i="13"/>
  <c r="D14" i="13" s="1"/>
  <c r="M11" i="1" s="1"/>
  <c r="N48" i="3" l="1"/>
  <c r="O48" i="3" s="1"/>
  <c r="Q48" i="3" s="1"/>
  <c r="S48" i="3" s="1"/>
  <c r="T48" i="3" s="1"/>
  <c r="C50" i="3"/>
  <c r="D50" i="3"/>
  <c r="E49" i="3"/>
  <c r="K49" i="3"/>
  <c r="M49" i="3"/>
  <c r="N49" i="3" s="1"/>
  <c r="O49" i="3" s="1"/>
  <c r="L49" i="3"/>
  <c r="G51" i="3"/>
  <c r="H51" i="3"/>
  <c r="Q49" i="3" l="1"/>
  <c r="S49" i="3" s="1"/>
  <c r="T49" i="3" s="1"/>
  <c r="T6" i="3" s="1"/>
  <c r="T8" i="3" s="1"/>
  <c r="G52" i="3"/>
  <c r="H52" i="3"/>
  <c r="E50" i="3"/>
  <c r="K50" i="3"/>
  <c r="C51" i="3"/>
  <c r="D51" i="3"/>
  <c r="M50" i="3"/>
  <c r="L50" i="3"/>
  <c r="N50" i="3" l="1"/>
  <c r="O50" i="3" s="1"/>
  <c r="H8" i="1"/>
  <c r="H53" i="3"/>
  <c r="G53" i="3"/>
  <c r="C52" i="3"/>
  <c r="D52" i="3"/>
  <c r="E51" i="3"/>
  <c r="K51" i="3"/>
  <c r="M51" i="3"/>
  <c r="L51" i="3"/>
  <c r="D53" i="3" l="1"/>
  <c r="E52" i="3"/>
  <c r="K52" i="3"/>
  <c r="C53" i="3"/>
  <c r="N51" i="3"/>
  <c r="O51" i="3" s="1"/>
  <c r="M52" i="3"/>
  <c r="L52" i="3"/>
  <c r="G54" i="3"/>
  <c r="H54" i="3"/>
  <c r="N52" i="3" l="1"/>
  <c r="O52" i="3" s="1"/>
  <c r="M53" i="3"/>
  <c r="L53" i="3"/>
  <c r="G55" i="3"/>
  <c r="H55" i="3"/>
  <c r="C54" i="3"/>
  <c r="E53" i="3"/>
  <c r="D54" i="3"/>
  <c r="K53" i="3"/>
  <c r="G56" i="3" l="1"/>
  <c r="H56" i="3"/>
  <c r="E54" i="3"/>
  <c r="D55" i="3"/>
  <c r="C55" i="3"/>
  <c r="K54" i="3"/>
  <c r="M54" i="3"/>
  <c r="N54" i="3" s="1"/>
  <c r="O54" i="3" s="1"/>
  <c r="L54" i="3"/>
  <c r="N53" i="3"/>
  <c r="O53" i="3" s="1"/>
  <c r="H57" i="3" l="1"/>
  <c r="G57" i="3"/>
  <c r="E55" i="3"/>
  <c r="C56" i="3"/>
  <c r="D56" i="3"/>
  <c r="K55" i="3"/>
  <c r="L55" i="3"/>
  <c r="M55" i="3"/>
  <c r="N55" i="3" l="1"/>
  <c r="O55" i="3" s="1"/>
  <c r="L56" i="3"/>
  <c r="M56" i="3"/>
  <c r="N56" i="3" s="1"/>
  <c r="O56" i="3" s="1"/>
  <c r="E56" i="3"/>
  <c r="C57" i="3"/>
  <c r="K56" i="3"/>
  <c r="D57" i="3"/>
  <c r="H58" i="3"/>
  <c r="G58" i="3"/>
  <c r="H59" i="3" l="1"/>
  <c r="G59" i="3"/>
  <c r="M57" i="3"/>
  <c r="N57" i="3" s="1"/>
  <c r="O57" i="3" s="1"/>
  <c r="L57" i="3"/>
  <c r="C58" i="3"/>
  <c r="K57" i="3"/>
  <c r="E57" i="3"/>
  <c r="D58" i="3"/>
  <c r="E58" i="3" l="1"/>
  <c r="D59" i="3"/>
  <c r="K58" i="3"/>
  <c r="C59" i="3"/>
  <c r="M58" i="3"/>
  <c r="L58" i="3"/>
  <c r="H60" i="3"/>
  <c r="G60" i="3"/>
  <c r="N58" i="3" l="1"/>
  <c r="O58" i="3" s="1"/>
  <c r="M59" i="3"/>
  <c r="L59" i="3"/>
  <c r="H61" i="3"/>
  <c r="G61" i="3"/>
  <c r="C60" i="3"/>
  <c r="K59" i="3"/>
  <c r="D60" i="3"/>
  <c r="E59" i="3"/>
  <c r="N59" i="3" l="1"/>
  <c r="O59" i="3" s="1"/>
  <c r="M60" i="3"/>
  <c r="L60" i="3"/>
  <c r="D61" i="3"/>
  <c r="E60" i="3"/>
  <c r="C61" i="3"/>
  <c r="K60" i="3"/>
  <c r="H62" i="3"/>
  <c r="G62" i="3"/>
  <c r="N60" i="3" l="1"/>
  <c r="O60" i="3" s="1"/>
  <c r="L61" i="3"/>
  <c r="M61" i="3"/>
  <c r="E61" i="3"/>
  <c r="K61" i="3"/>
  <c r="D62" i="3"/>
  <c r="C62" i="3"/>
  <c r="H63" i="3"/>
  <c r="G63" i="3"/>
  <c r="G64" i="3" l="1"/>
  <c r="H64" i="3"/>
  <c r="L62" i="3"/>
  <c r="M62" i="3"/>
  <c r="N61" i="3"/>
  <c r="O61" i="3" s="1"/>
  <c r="C63" i="3"/>
  <c r="E62" i="3"/>
  <c r="K62" i="3"/>
  <c r="D63" i="3"/>
  <c r="N62" i="3" l="1"/>
  <c r="O62" i="3" s="1"/>
  <c r="M63" i="3"/>
  <c r="L63" i="3"/>
  <c r="G65" i="3"/>
  <c r="H65" i="3"/>
  <c r="D64" i="3"/>
  <c r="E63" i="3"/>
  <c r="K63" i="3"/>
  <c r="C64" i="3"/>
  <c r="N63" i="3" l="1"/>
  <c r="O63" i="3" s="1"/>
  <c r="D65" i="3"/>
  <c r="E64" i="3"/>
  <c r="K64" i="3"/>
  <c r="C65" i="3"/>
  <c r="M64" i="3"/>
  <c r="L64" i="3"/>
  <c r="H66" i="3"/>
  <c r="G66" i="3"/>
  <c r="G67" i="3" l="1"/>
  <c r="H67" i="3"/>
  <c r="N64" i="3"/>
  <c r="O64" i="3" s="1"/>
  <c r="C66" i="3"/>
  <c r="E65" i="3"/>
  <c r="K65" i="3"/>
  <c r="D66" i="3"/>
  <c r="L65" i="3"/>
  <c r="M65" i="3"/>
  <c r="N65" i="3" s="1"/>
  <c r="O65" i="3" s="1"/>
  <c r="M66" i="3" l="1"/>
  <c r="N66" i="3" s="1"/>
  <c r="O66" i="3" s="1"/>
  <c r="L66" i="3"/>
  <c r="C67" i="3"/>
  <c r="D67" i="3"/>
  <c r="E66" i="3"/>
  <c r="K66" i="3"/>
  <c r="G68" i="3"/>
  <c r="H68" i="3"/>
  <c r="H69" i="3" l="1"/>
  <c r="G69" i="3"/>
  <c r="M67" i="3"/>
  <c r="N67" i="3" s="1"/>
  <c r="O67" i="3" s="1"/>
  <c r="L67" i="3"/>
  <c r="C68" i="3"/>
  <c r="D68" i="3"/>
  <c r="K67" i="3"/>
  <c r="E67" i="3"/>
  <c r="C69" i="3" l="1"/>
  <c r="K68" i="3"/>
  <c r="D69" i="3"/>
  <c r="E68" i="3"/>
  <c r="M68" i="3"/>
  <c r="N68" i="3" s="1"/>
  <c r="O68" i="3" s="1"/>
  <c r="L68" i="3"/>
  <c r="H70" i="3"/>
  <c r="G70" i="3"/>
  <c r="G71" i="3" l="1"/>
  <c r="H71" i="3"/>
  <c r="K69" i="3"/>
  <c r="E69" i="3"/>
  <c r="C70" i="3"/>
  <c r="D70" i="3"/>
  <c r="M69" i="3"/>
  <c r="N69" i="3" s="1"/>
  <c r="O69" i="3" s="1"/>
  <c r="L69" i="3"/>
  <c r="D71" i="3" l="1"/>
  <c r="C71" i="3"/>
  <c r="E70" i="3"/>
  <c r="K70" i="3"/>
  <c r="H72" i="3"/>
  <c r="G72" i="3"/>
  <c r="L70" i="3"/>
  <c r="M70" i="3"/>
  <c r="N70" i="3" s="1"/>
  <c r="O70" i="3" s="1"/>
  <c r="L71" i="3" l="1"/>
  <c r="M71" i="3"/>
  <c r="N71" i="3" s="1"/>
  <c r="O71" i="3" s="1"/>
  <c r="G73" i="3"/>
  <c r="H73" i="3"/>
  <c r="C72" i="3"/>
  <c r="K71" i="3"/>
  <c r="E71" i="3"/>
  <c r="D72" i="3"/>
  <c r="K72" i="3" l="1"/>
  <c r="E72" i="3"/>
  <c r="D73" i="3"/>
  <c r="C73" i="3"/>
  <c r="G74" i="3"/>
  <c r="H74" i="3"/>
  <c r="L72" i="3"/>
  <c r="M72" i="3"/>
  <c r="N72" i="3" s="1"/>
  <c r="O72" i="3" s="1"/>
  <c r="L73" i="3" l="1"/>
  <c r="M73" i="3"/>
  <c r="H75" i="3"/>
  <c r="G75" i="3"/>
  <c r="E73" i="3"/>
  <c r="K73" i="3"/>
  <c r="C74" i="3"/>
  <c r="D74" i="3"/>
  <c r="N73" i="3" l="1"/>
  <c r="O73" i="3" s="1"/>
  <c r="E74" i="3"/>
  <c r="C75" i="3"/>
  <c r="K74" i="3"/>
  <c r="D75" i="3"/>
  <c r="L74" i="3"/>
  <c r="M74" i="3"/>
  <c r="H76" i="3"/>
  <c r="G76" i="3"/>
  <c r="N74" i="3" l="1"/>
  <c r="O74" i="3" s="1"/>
  <c r="D76" i="3"/>
  <c r="C76" i="3"/>
  <c r="E75" i="3"/>
  <c r="K75" i="3"/>
  <c r="H77" i="3"/>
  <c r="G77" i="3"/>
  <c r="L75" i="3"/>
  <c r="M75" i="3"/>
  <c r="N75" i="3" s="1"/>
  <c r="O75" i="3" s="1"/>
  <c r="M76" i="3" l="1"/>
  <c r="L76" i="3"/>
  <c r="H78" i="3"/>
  <c r="G78" i="3"/>
  <c r="C77" i="3"/>
  <c r="K76" i="3"/>
  <c r="E76" i="3"/>
  <c r="D77" i="3"/>
  <c r="N76" i="3" l="1"/>
  <c r="O76" i="3" s="1"/>
  <c r="L77" i="3"/>
  <c r="M77" i="3"/>
  <c r="N77" i="3" s="1"/>
  <c r="O77" i="3" s="1"/>
  <c r="E77" i="3"/>
  <c r="C78" i="3"/>
  <c r="K77" i="3"/>
  <c r="D78" i="3"/>
  <c r="H79" i="3"/>
  <c r="G79" i="3"/>
  <c r="L78" i="3" l="1"/>
  <c r="M78" i="3"/>
  <c r="G80" i="3"/>
  <c r="H80" i="3"/>
  <c r="E78" i="3"/>
  <c r="C79" i="3"/>
  <c r="D79" i="3"/>
  <c r="K78" i="3"/>
  <c r="G81" i="3" l="1"/>
  <c r="H81" i="3"/>
  <c r="C80" i="3"/>
  <c r="E79" i="3"/>
  <c r="K79" i="3"/>
  <c r="D80" i="3"/>
  <c r="L79" i="3"/>
  <c r="M79" i="3"/>
  <c r="N79" i="3" s="1"/>
  <c r="O79" i="3" s="1"/>
  <c r="N78" i="3"/>
  <c r="O78" i="3" s="1"/>
  <c r="M80" i="3" l="1"/>
  <c r="N80" i="3" s="1"/>
  <c r="O80" i="3" s="1"/>
  <c r="L80" i="3"/>
  <c r="K80" i="3"/>
  <c r="C81" i="3"/>
  <c r="E80" i="3"/>
  <c r="D81" i="3"/>
  <c r="H82" i="3"/>
  <c r="G82" i="3"/>
  <c r="G83" i="3" l="1"/>
  <c r="H83" i="3"/>
  <c r="M81" i="3"/>
  <c r="L81" i="3"/>
  <c r="E81" i="3"/>
  <c r="K81" i="3"/>
  <c r="C82" i="3"/>
  <c r="D82" i="3"/>
  <c r="N81" i="3" l="1"/>
  <c r="O81" i="3" s="1"/>
  <c r="E82" i="3"/>
  <c r="C83" i="3"/>
  <c r="D83" i="3"/>
  <c r="K82" i="3"/>
  <c r="M82" i="3"/>
  <c r="N82" i="3" s="1"/>
  <c r="O82" i="3" s="1"/>
  <c r="L82" i="3"/>
  <c r="H84" i="3"/>
  <c r="G84" i="3"/>
  <c r="D84" i="3" l="1"/>
  <c r="C84" i="3"/>
  <c r="K83" i="3"/>
  <c r="E83" i="3"/>
  <c r="H85" i="3"/>
  <c r="G85" i="3"/>
  <c r="L83" i="3"/>
  <c r="M83" i="3"/>
  <c r="N83" i="3" s="1"/>
  <c r="O83" i="3" s="1"/>
  <c r="L84" i="3" l="1"/>
  <c r="M84" i="3"/>
  <c r="N84" i="3" s="1"/>
  <c r="O84" i="3" s="1"/>
  <c r="H86" i="3"/>
  <c r="G86" i="3"/>
  <c r="K84" i="3"/>
  <c r="C85" i="3"/>
  <c r="E84" i="3"/>
  <c r="D85" i="3"/>
  <c r="H87" i="3" l="1"/>
  <c r="G87" i="3"/>
  <c r="C86" i="3"/>
  <c r="D86" i="3"/>
  <c r="K85" i="3"/>
  <c r="E85" i="3"/>
  <c r="L85" i="3"/>
  <c r="M85" i="3"/>
  <c r="N85" i="3" s="1"/>
  <c r="O85" i="3" s="1"/>
  <c r="L86" i="3" l="1"/>
  <c r="M86" i="3"/>
  <c r="N86" i="3" s="1"/>
  <c r="O86" i="3" s="1"/>
  <c r="C87" i="3"/>
  <c r="K86" i="3"/>
  <c r="D87" i="3"/>
  <c r="E86" i="3"/>
  <c r="H88" i="3"/>
  <c r="G88" i="3"/>
  <c r="H89" i="3" l="1"/>
  <c r="G89" i="3"/>
  <c r="L87" i="3"/>
  <c r="M87" i="3"/>
  <c r="N87" i="3" s="1"/>
  <c r="O87" i="3" s="1"/>
  <c r="K87" i="3"/>
  <c r="E87" i="3"/>
  <c r="C88" i="3"/>
  <c r="D88" i="3"/>
  <c r="K88" i="3" l="1"/>
  <c r="E88" i="3"/>
  <c r="D89" i="3"/>
  <c r="C89" i="3"/>
  <c r="M88" i="3"/>
  <c r="N88" i="3" s="1"/>
  <c r="O88" i="3" s="1"/>
  <c r="L88" i="3"/>
  <c r="H90" i="3"/>
  <c r="G90" i="3"/>
  <c r="M89" i="3" l="1"/>
  <c r="L89" i="3"/>
  <c r="H91" i="3"/>
  <c r="G91" i="3"/>
  <c r="C90" i="3"/>
  <c r="K89" i="3"/>
  <c r="D90" i="3"/>
  <c r="E89" i="3"/>
  <c r="N89" i="3" l="1"/>
  <c r="O89" i="3" s="1"/>
  <c r="L90" i="3"/>
  <c r="M90" i="3"/>
  <c r="N90" i="3" s="1"/>
  <c r="O90" i="3" s="1"/>
  <c r="C91" i="3"/>
  <c r="D91" i="3"/>
  <c r="K90" i="3"/>
  <c r="E90" i="3"/>
  <c r="H92" i="3"/>
  <c r="G92" i="3"/>
  <c r="E91" i="3" l="1"/>
  <c r="D92" i="3"/>
  <c r="K91" i="3"/>
  <c r="C92" i="3"/>
  <c r="H93" i="3"/>
  <c r="G93" i="3"/>
  <c r="L91" i="3"/>
  <c r="M91" i="3"/>
  <c r="N91" i="3" s="1"/>
  <c r="O91" i="3" s="1"/>
  <c r="G94" i="3" l="1"/>
  <c r="H94" i="3"/>
  <c r="L92" i="3"/>
  <c r="M92" i="3"/>
  <c r="N92" i="3" s="1"/>
  <c r="O92" i="3" s="1"/>
  <c r="E92" i="3"/>
  <c r="C93" i="3"/>
  <c r="D93" i="3"/>
  <c r="K92" i="3"/>
  <c r="C94" i="3" l="1"/>
  <c r="K93" i="3"/>
  <c r="D94" i="3"/>
  <c r="E93" i="3"/>
  <c r="M93" i="3"/>
  <c r="N93" i="3" s="1"/>
  <c r="O93" i="3" s="1"/>
  <c r="L93" i="3"/>
  <c r="H95" i="3"/>
  <c r="G95" i="3"/>
  <c r="H96" i="3" l="1"/>
  <c r="G96" i="3"/>
  <c r="D95" i="3"/>
  <c r="E94" i="3"/>
  <c r="K94" i="3"/>
  <c r="C95" i="3"/>
  <c r="M94" i="3"/>
  <c r="N94" i="3" s="1"/>
  <c r="O94" i="3" s="1"/>
  <c r="L94" i="3"/>
  <c r="C96" i="3" l="1"/>
  <c r="D96" i="3"/>
  <c r="E95" i="3"/>
  <c r="K95" i="3"/>
  <c r="M95" i="3"/>
  <c r="L95" i="3"/>
  <c r="H97" i="3"/>
  <c r="G97" i="3"/>
  <c r="N95" i="3" l="1"/>
  <c r="O95" i="3" s="1"/>
  <c r="H98" i="3"/>
  <c r="G98" i="3"/>
  <c r="D97" i="3"/>
  <c r="E96" i="3"/>
  <c r="K96" i="3"/>
  <c r="C97" i="3"/>
  <c r="L96" i="3"/>
  <c r="M96" i="3"/>
  <c r="N96" i="3" s="1"/>
  <c r="O96" i="3" s="1"/>
  <c r="C98" i="3" l="1"/>
  <c r="K97" i="3"/>
  <c r="E97" i="3"/>
  <c r="D98" i="3"/>
  <c r="L97" i="3"/>
  <c r="M97" i="3"/>
  <c r="N97" i="3" s="1"/>
  <c r="O97" i="3" s="1"/>
  <c r="G99" i="3"/>
  <c r="H99" i="3"/>
  <c r="H100" i="3" l="1"/>
  <c r="G100" i="3"/>
  <c r="D99" i="3"/>
  <c r="E98" i="3"/>
  <c r="C99" i="3"/>
  <c r="K98" i="3"/>
  <c r="M98" i="3"/>
  <c r="N98" i="3" s="1"/>
  <c r="O98" i="3" s="1"/>
  <c r="L98" i="3"/>
  <c r="C100" i="3" l="1"/>
  <c r="K99" i="3"/>
  <c r="E99" i="3"/>
  <c r="D100" i="3"/>
  <c r="M99" i="3"/>
  <c r="N99" i="3" s="1"/>
  <c r="O99" i="3" s="1"/>
  <c r="L99" i="3"/>
  <c r="H101" i="3"/>
  <c r="G101" i="3"/>
  <c r="K100" i="3" l="1"/>
  <c r="C101" i="3"/>
  <c r="E100" i="3"/>
  <c r="D101" i="3"/>
  <c r="H102" i="3"/>
  <c r="G102" i="3"/>
  <c r="M100" i="3"/>
  <c r="N100" i="3" s="1"/>
  <c r="O100" i="3" s="1"/>
  <c r="L100" i="3"/>
  <c r="L101" i="3" l="1"/>
  <c r="M101" i="3"/>
  <c r="D102" i="3"/>
  <c r="C102" i="3"/>
  <c r="E101" i="3"/>
  <c r="K101" i="3"/>
  <c r="G103" i="3"/>
  <c r="H103" i="3"/>
  <c r="G104" i="3" l="1"/>
  <c r="H104" i="3"/>
  <c r="L102" i="3"/>
  <c r="M102" i="3"/>
  <c r="N102" i="3" s="1"/>
  <c r="O102" i="3" s="1"/>
  <c r="E102" i="3"/>
  <c r="D103" i="3"/>
  <c r="K102" i="3"/>
  <c r="C103" i="3"/>
  <c r="N101" i="3"/>
  <c r="O101" i="3" s="1"/>
  <c r="L103" i="3" l="1"/>
  <c r="M103" i="3"/>
  <c r="N103" i="3" s="1"/>
  <c r="O103" i="3" s="1"/>
  <c r="K103" i="3"/>
  <c r="D104" i="3"/>
  <c r="E103" i="3"/>
  <c r="C104" i="3"/>
  <c r="G105" i="3"/>
  <c r="H105" i="3"/>
  <c r="M104" i="3" l="1"/>
  <c r="L104" i="3"/>
  <c r="H106" i="3"/>
  <c r="G106" i="3"/>
  <c r="K104" i="3"/>
  <c r="E104" i="3"/>
  <c r="D105" i="3"/>
  <c r="C105" i="3"/>
  <c r="N104" i="3" l="1"/>
  <c r="O104" i="3" s="1"/>
  <c r="L105" i="3"/>
  <c r="M105" i="3"/>
  <c r="K105" i="3"/>
  <c r="E105" i="3"/>
  <c r="D106" i="3"/>
  <c r="C106" i="3"/>
  <c r="G107" i="3"/>
  <c r="H107" i="3"/>
  <c r="N105" i="3" l="1"/>
  <c r="O105" i="3" s="1"/>
  <c r="G108" i="3"/>
  <c r="H108" i="3"/>
  <c r="L106" i="3"/>
  <c r="M106" i="3"/>
  <c r="N106" i="3" s="1"/>
  <c r="O106" i="3" s="1"/>
  <c r="K106" i="3"/>
  <c r="D107" i="3"/>
  <c r="E106" i="3"/>
  <c r="C107" i="3"/>
  <c r="D108" i="3" l="1"/>
  <c r="E107" i="3"/>
  <c r="C108" i="3"/>
  <c r="K107" i="3"/>
  <c r="H109" i="3"/>
  <c r="G109" i="3"/>
  <c r="L107" i="3"/>
  <c r="M107" i="3"/>
  <c r="N107" i="3" s="1"/>
  <c r="O107" i="3" s="1"/>
  <c r="M108" i="3" l="1"/>
  <c r="N108" i="3" s="1"/>
  <c r="O108" i="3" s="1"/>
  <c r="L108" i="3"/>
  <c r="H110" i="3"/>
  <c r="G110" i="3"/>
  <c r="D109" i="3"/>
  <c r="K108" i="3"/>
  <c r="C109" i="3"/>
  <c r="E108" i="3"/>
  <c r="L109" i="3" l="1"/>
  <c r="M109" i="3"/>
  <c r="H111" i="3"/>
  <c r="G111" i="3"/>
  <c r="C110" i="3"/>
  <c r="E109" i="3"/>
  <c r="D110" i="3"/>
  <c r="K109" i="3"/>
  <c r="N109" i="3" l="1"/>
  <c r="O109" i="3" s="1"/>
  <c r="D111" i="3"/>
  <c r="E110" i="3"/>
  <c r="K110" i="3"/>
  <c r="C111" i="3"/>
  <c r="H112" i="3"/>
  <c r="G112" i="3"/>
  <c r="L110" i="3"/>
  <c r="M110" i="3"/>
  <c r="N110" i="3" s="1"/>
  <c r="O110" i="3" s="1"/>
  <c r="M111" i="3" l="1"/>
  <c r="L111" i="3"/>
  <c r="H113" i="3"/>
  <c r="G113" i="3"/>
  <c r="K111" i="3"/>
  <c r="E111" i="3"/>
  <c r="C112" i="3"/>
  <c r="D112" i="3"/>
  <c r="N111" i="3" l="1"/>
  <c r="O111" i="3" s="1"/>
  <c r="E112" i="3"/>
  <c r="D113" i="3"/>
  <c r="C113" i="3"/>
  <c r="K112" i="3"/>
  <c r="L112" i="3"/>
  <c r="M112" i="3"/>
  <c r="N112" i="3" s="1"/>
  <c r="O112" i="3" s="1"/>
  <c r="G114" i="3"/>
  <c r="H114" i="3"/>
  <c r="E113" i="3" l="1"/>
  <c r="D114" i="3"/>
  <c r="C114" i="3"/>
  <c r="K113" i="3"/>
  <c r="L113" i="3"/>
  <c r="M113" i="3"/>
  <c r="N113" i="3" s="1"/>
  <c r="O113" i="3" s="1"/>
  <c r="H115" i="3"/>
  <c r="G115" i="3"/>
  <c r="H116" i="3" l="1"/>
  <c r="G116" i="3"/>
  <c r="L114" i="3"/>
  <c r="M114" i="3"/>
  <c r="N114" i="3" s="1"/>
  <c r="O114" i="3" s="1"/>
  <c r="K114" i="3"/>
  <c r="D115" i="3"/>
  <c r="C115" i="3"/>
  <c r="E114" i="3"/>
  <c r="L115" i="3" l="1"/>
  <c r="M115" i="3"/>
  <c r="N115" i="3" s="1"/>
  <c r="O115" i="3" s="1"/>
  <c r="E115" i="3"/>
  <c r="C116" i="3"/>
  <c r="D116" i="3"/>
  <c r="K115" i="3"/>
  <c r="H117" i="3"/>
  <c r="G117" i="3"/>
  <c r="L116" i="3" l="1"/>
  <c r="M116" i="3"/>
  <c r="H118" i="3"/>
  <c r="G118" i="3"/>
  <c r="C117" i="3"/>
  <c r="D117" i="3"/>
  <c r="E116" i="3"/>
  <c r="K116" i="3"/>
  <c r="N116" i="3" l="1"/>
  <c r="O116" i="3" s="1"/>
  <c r="H119" i="3"/>
  <c r="G119" i="3"/>
  <c r="C118" i="3"/>
  <c r="K117" i="3"/>
  <c r="E117" i="3"/>
  <c r="D118" i="3"/>
  <c r="M117" i="3"/>
  <c r="N117" i="3" s="1"/>
  <c r="O117" i="3" s="1"/>
  <c r="L117" i="3"/>
  <c r="L118" i="3" l="1"/>
  <c r="M118" i="3"/>
  <c r="N118" i="3" s="1"/>
  <c r="O118" i="3" s="1"/>
  <c r="C119" i="3"/>
  <c r="D119" i="3"/>
  <c r="K118" i="3"/>
  <c r="E118" i="3"/>
  <c r="G120" i="3"/>
  <c r="H120" i="3"/>
  <c r="G121" i="3" l="1"/>
  <c r="H121" i="3"/>
  <c r="D120" i="3"/>
  <c r="C120" i="3"/>
  <c r="K119" i="3"/>
  <c r="E119" i="3"/>
  <c r="M119" i="3"/>
  <c r="N119" i="3" s="1"/>
  <c r="O119" i="3" s="1"/>
  <c r="L119" i="3"/>
  <c r="K120" i="3" l="1"/>
  <c r="D121" i="3"/>
  <c r="E120" i="3"/>
  <c r="C121" i="3"/>
  <c r="H122" i="3"/>
  <c r="G122" i="3"/>
  <c r="M120" i="3"/>
  <c r="N120" i="3" s="1"/>
  <c r="O120" i="3" s="1"/>
  <c r="L120" i="3"/>
  <c r="E121" i="3" l="1"/>
  <c r="D122" i="3"/>
  <c r="C122" i="3"/>
  <c r="K121" i="3"/>
  <c r="L121" i="3"/>
  <c r="M121" i="3"/>
  <c r="G123" i="3"/>
  <c r="H123" i="3"/>
  <c r="N121" i="3" l="1"/>
  <c r="O121" i="3" s="1"/>
  <c r="G124" i="3"/>
  <c r="H124" i="3"/>
  <c r="L122" i="3"/>
  <c r="M122" i="3"/>
  <c r="C123" i="3"/>
  <c r="E122" i="3"/>
  <c r="D123" i="3"/>
  <c r="K122" i="3"/>
  <c r="N122" i="3" l="1"/>
  <c r="O122" i="3" s="1"/>
  <c r="E123" i="3"/>
  <c r="C124" i="3"/>
  <c r="K123" i="3"/>
  <c r="D124" i="3"/>
  <c r="H125" i="3"/>
  <c r="G125" i="3"/>
  <c r="M123" i="3"/>
  <c r="N123" i="3" s="1"/>
  <c r="O123" i="3" s="1"/>
  <c r="L123" i="3"/>
  <c r="H126" i="3" l="1"/>
  <c r="G126" i="3"/>
  <c r="E124" i="3"/>
  <c r="D125" i="3"/>
  <c r="K124" i="3"/>
  <c r="C125" i="3"/>
  <c r="L124" i="3"/>
  <c r="M124" i="3"/>
  <c r="N124" i="3" s="1"/>
  <c r="O124" i="3" s="1"/>
  <c r="D126" i="3" l="1"/>
  <c r="C126" i="3"/>
  <c r="E125" i="3"/>
  <c r="K125" i="3"/>
  <c r="L125" i="3"/>
  <c r="M125" i="3"/>
  <c r="G127" i="3"/>
  <c r="H127" i="3"/>
  <c r="N125" i="3" l="1"/>
  <c r="O125" i="3" s="1"/>
  <c r="H128" i="3"/>
  <c r="G128" i="3"/>
  <c r="M126" i="3"/>
  <c r="N126" i="3" s="1"/>
  <c r="O126" i="3" s="1"/>
  <c r="L126" i="3"/>
  <c r="K126" i="3"/>
  <c r="E126" i="3"/>
  <c r="D127" i="3"/>
  <c r="C127" i="3"/>
  <c r="M127" i="3" l="1"/>
  <c r="N127" i="3" s="1"/>
  <c r="O127" i="3" s="1"/>
  <c r="L127" i="3"/>
  <c r="C128" i="3"/>
  <c r="K127" i="3"/>
  <c r="D128" i="3"/>
  <c r="E127" i="3"/>
  <c r="G129" i="3"/>
  <c r="H129" i="3"/>
  <c r="D129" i="3" l="1"/>
  <c r="K128" i="3"/>
  <c r="E128" i="3"/>
  <c r="C129" i="3"/>
  <c r="H130" i="3"/>
  <c r="G130" i="3"/>
  <c r="L128" i="3"/>
  <c r="M128" i="3"/>
  <c r="N128" i="3" s="1"/>
  <c r="O128" i="3" s="1"/>
  <c r="L129" i="3" l="1"/>
  <c r="M129" i="3"/>
  <c r="N129" i="3" s="1"/>
  <c r="O129" i="3" s="1"/>
  <c r="H131" i="3"/>
  <c r="G131" i="3"/>
  <c r="E129" i="3"/>
  <c r="C130" i="3"/>
  <c r="K129" i="3"/>
  <c r="D130" i="3"/>
  <c r="M130" i="3" l="1"/>
  <c r="N130" i="3" s="1"/>
  <c r="O130" i="3" s="1"/>
  <c r="L130" i="3"/>
  <c r="C131" i="3"/>
  <c r="K130" i="3"/>
  <c r="D131" i="3"/>
  <c r="E130" i="3"/>
  <c r="G132" i="3"/>
  <c r="H132" i="3"/>
  <c r="C132" i="3" l="1"/>
  <c r="K131" i="3"/>
  <c r="D132" i="3"/>
  <c r="E131" i="3"/>
  <c r="G133" i="3"/>
  <c r="H133" i="3"/>
  <c r="L131" i="3"/>
  <c r="M131" i="3"/>
  <c r="N131" i="3" s="1"/>
  <c r="O131" i="3" s="1"/>
  <c r="C133" i="3" l="1"/>
  <c r="K132" i="3"/>
  <c r="D133" i="3"/>
  <c r="E132" i="3"/>
  <c r="G134" i="3"/>
  <c r="H134" i="3"/>
  <c r="M132" i="3"/>
  <c r="N132" i="3" s="1"/>
  <c r="O132" i="3" s="1"/>
  <c r="L132" i="3"/>
  <c r="E133" i="3" l="1"/>
  <c r="C134" i="3"/>
  <c r="D134" i="3"/>
  <c r="K133" i="3"/>
  <c r="G135" i="3"/>
  <c r="H135" i="3"/>
  <c r="L133" i="3"/>
  <c r="M133" i="3"/>
  <c r="N133" i="3" s="1"/>
  <c r="O133" i="3" s="1"/>
  <c r="C135" i="3" l="1"/>
  <c r="D135" i="3"/>
  <c r="E134" i="3"/>
  <c r="K134" i="3"/>
  <c r="G136" i="3"/>
  <c r="H136" i="3"/>
  <c r="L134" i="3"/>
  <c r="M134" i="3"/>
  <c r="N134" i="3" s="1"/>
  <c r="O134" i="3" s="1"/>
  <c r="D136" i="3" l="1"/>
  <c r="K135" i="3"/>
  <c r="E135" i="3"/>
  <c r="C136" i="3"/>
  <c r="G137" i="3"/>
  <c r="H137" i="3"/>
  <c r="L135" i="3"/>
  <c r="M135" i="3"/>
  <c r="N135" i="3" s="1"/>
  <c r="O135" i="3" s="1"/>
  <c r="M136" i="3" l="1"/>
  <c r="L136" i="3"/>
  <c r="G138" i="3"/>
  <c r="H138" i="3"/>
  <c r="C137" i="3"/>
  <c r="D137" i="3"/>
  <c r="E136" i="3"/>
  <c r="K136" i="3"/>
  <c r="H139" i="3" l="1"/>
  <c r="G139" i="3"/>
  <c r="C138" i="3"/>
  <c r="K137" i="3"/>
  <c r="D138" i="3"/>
  <c r="E137" i="3"/>
  <c r="M137" i="3"/>
  <c r="L137" i="3"/>
  <c r="N136" i="3"/>
  <c r="O136" i="3" s="1"/>
  <c r="N137" i="3" l="1"/>
  <c r="O137" i="3" s="1"/>
  <c r="L138" i="3"/>
  <c r="M138" i="3"/>
  <c r="N138" i="3" s="1"/>
  <c r="O138" i="3" s="1"/>
  <c r="E138" i="3"/>
  <c r="K138" i="3"/>
  <c r="C139" i="3"/>
  <c r="D139" i="3"/>
  <c r="H140" i="3"/>
  <c r="G140" i="3"/>
  <c r="E139" i="3" l="1"/>
  <c r="D140" i="3"/>
  <c r="C140" i="3"/>
  <c r="K139" i="3"/>
  <c r="L139" i="3"/>
  <c r="M139" i="3"/>
  <c r="N139" i="3" s="1"/>
  <c r="O139" i="3" s="1"/>
  <c r="H141" i="3"/>
  <c r="G141" i="3"/>
  <c r="G142" i="3" l="1"/>
  <c r="H142" i="3"/>
  <c r="M140" i="3"/>
  <c r="N140" i="3" s="1"/>
  <c r="O140" i="3" s="1"/>
  <c r="L140" i="3"/>
  <c r="K140" i="3"/>
  <c r="E140" i="3"/>
  <c r="D141" i="3"/>
  <c r="C141" i="3"/>
  <c r="G143" i="3" l="1"/>
  <c r="H143" i="3"/>
  <c r="L141" i="3"/>
  <c r="M141" i="3"/>
  <c r="N141" i="3" s="1"/>
  <c r="O141" i="3" s="1"/>
  <c r="C142" i="3"/>
  <c r="E141" i="3"/>
  <c r="K141" i="3"/>
  <c r="D142" i="3"/>
  <c r="C143" i="3" l="1"/>
  <c r="E142" i="3"/>
  <c r="K142" i="3"/>
  <c r="D143" i="3"/>
  <c r="G144" i="3"/>
  <c r="H144" i="3"/>
  <c r="M142" i="3"/>
  <c r="N142" i="3" s="1"/>
  <c r="O142" i="3" s="1"/>
  <c r="L142" i="3"/>
  <c r="K143" i="3" l="1"/>
  <c r="C144" i="3"/>
  <c r="E143" i="3"/>
  <c r="D144" i="3"/>
  <c r="H145" i="3"/>
  <c r="G145" i="3"/>
  <c r="L143" i="3"/>
  <c r="M143" i="3"/>
  <c r="N143" i="3" s="1"/>
  <c r="O143" i="3" s="1"/>
  <c r="C145" i="3" l="1"/>
  <c r="K144" i="3"/>
  <c r="E144" i="3"/>
  <c r="D145" i="3"/>
  <c r="L144" i="3"/>
  <c r="M144" i="3"/>
  <c r="N144" i="3" s="1"/>
  <c r="O144" i="3" s="1"/>
  <c r="G146" i="3"/>
  <c r="H146" i="3"/>
  <c r="H147" i="3" l="1"/>
  <c r="G147" i="3"/>
  <c r="D146" i="3"/>
  <c r="C146" i="3"/>
  <c r="K145" i="3"/>
  <c r="E145" i="3"/>
  <c r="L145" i="3"/>
  <c r="M145" i="3"/>
  <c r="N145" i="3" s="1"/>
  <c r="O145" i="3" s="1"/>
  <c r="M146" i="3" l="1"/>
  <c r="N146" i="3" s="1"/>
  <c r="O146" i="3" s="1"/>
  <c r="L146" i="3"/>
  <c r="E146" i="3"/>
  <c r="K146" i="3"/>
  <c r="D147" i="3"/>
  <c r="C147" i="3"/>
  <c r="G148" i="3"/>
  <c r="H148" i="3"/>
  <c r="G149" i="3" l="1"/>
  <c r="H149" i="3"/>
  <c r="E147" i="3"/>
  <c r="D148" i="3"/>
  <c r="C148" i="3"/>
  <c r="K147" i="3"/>
  <c r="L147" i="3"/>
  <c r="M147" i="3"/>
  <c r="N147" i="3" s="1"/>
  <c r="O147" i="3" s="1"/>
  <c r="C149" i="3" l="1"/>
  <c r="K148" i="3"/>
  <c r="E148" i="3"/>
  <c r="D149" i="3"/>
  <c r="G150" i="3"/>
  <c r="H150" i="3"/>
  <c r="M148" i="3"/>
  <c r="N148" i="3" s="1"/>
  <c r="O148" i="3" s="1"/>
  <c r="L148" i="3"/>
  <c r="C150" i="3" l="1"/>
  <c r="D150" i="3"/>
  <c r="K149" i="3"/>
  <c r="E149" i="3"/>
  <c r="H151" i="3"/>
  <c r="G151" i="3"/>
  <c r="M149" i="3"/>
  <c r="N149" i="3" s="1"/>
  <c r="O149" i="3" s="1"/>
  <c r="L149" i="3"/>
  <c r="K150" i="3" l="1"/>
  <c r="E150" i="3"/>
  <c r="D151" i="3"/>
  <c r="C151" i="3"/>
  <c r="G152" i="3"/>
  <c r="H152" i="3"/>
  <c r="L150" i="3"/>
  <c r="M150" i="3"/>
  <c r="N150" i="3" s="1"/>
  <c r="O150" i="3" s="1"/>
  <c r="C152" i="3" l="1"/>
  <c r="K151" i="3"/>
  <c r="D152" i="3"/>
  <c r="E151" i="3"/>
  <c r="L151" i="3"/>
  <c r="M151" i="3"/>
  <c r="N151" i="3" s="1"/>
  <c r="O151" i="3" s="1"/>
  <c r="H153" i="3"/>
  <c r="G153" i="3"/>
  <c r="D153" i="3" l="1"/>
  <c r="K152" i="3"/>
  <c r="E152" i="3"/>
  <c r="C153" i="3"/>
  <c r="H154" i="3"/>
  <c r="G154" i="3"/>
  <c r="L152" i="3"/>
  <c r="M152" i="3"/>
  <c r="N152" i="3" s="1"/>
  <c r="O152" i="3" s="1"/>
  <c r="M153" i="3" l="1"/>
  <c r="N153" i="3" s="1"/>
  <c r="O153" i="3" s="1"/>
  <c r="L153" i="3"/>
  <c r="G155" i="3"/>
  <c r="H155" i="3"/>
  <c r="D154" i="3"/>
  <c r="K153" i="3"/>
  <c r="E153" i="3"/>
  <c r="C154" i="3"/>
  <c r="D155" i="3" l="1"/>
  <c r="E154" i="3"/>
  <c r="K154" i="3"/>
  <c r="C155" i="3"/>
  <c r="L154" i="3"/>
  <c r="M154" i="3"/>
  <c r="N154" i="3" s="1"/>
  <c r="O154" i="3" s="1"/>
  <c r="G156" i="3"/>
  <c r="H156" i="3"/>
  <c r="G157" i="3" l="1"/>
  <c r="H157" i="3"/>
  <c r="M155" i="3"/>
  <c r="N155" i="3" s="1"/>
  <c r="O155" i="3" s="1"/>
  <c r="L155" i="3"/>
  <c r="K155" i="3"/>
  <c r="C156" i="3"/>
  <c r="E155" i="3"/>
  <c r="D156" i="3"/>
  <c r="L156" i="3" l="1"/>
  <c r="M156" i="3"/>
  <c r="N156" i="3" s="1"/>
  <c r="O156" i="3" s="1"/>
  <c r="H158" i="3"/>
  <c r="G158" i="3"/>
  <c r="E156" i="3"/>
  <c r="D157" i="3"/>
  <c r="C157" i="3"/>
  <c r="K156" i="3"/>
  <c r="E157" i="3" l="1"/>
  <c r="D158" i="3"/>
  <c r="K157" i="3"/>
  <c r="C158" i="3"/>
  <c r="M157" i="3"/>
  <c r="N157" i="3" s="1"/>
  <c r="O157" i="3" s="1"/>
  <c r="L157" i="3"/>
  <c r="H159" i="3"/>
  <c r="G159" i="3"/>
  <c r="M158" i="3" l="1"/>
  <c r="N158" i="3" s="1"/>
  <c r="O158" i="3" s="1"/>
  <c r="L158" i="3"/>
  <c r="H160" i="3"/>
  <c r="G160" i="3"/>
  <c r="E158" i="3"/>
  <c r="D159" i="3"/>
  <c r="C159" i="3"/>
  <c r="K158" i="3"/>
  <c r="L159" i="3" l="1"/>
  <c r="M159" i="3"/>
  <c r="N159" i="3" s="1"/>
  <c r="O159" i="3" s="1"/>
  <c r="G161" i="3"/>
  <c r="H161" i="3"/>
  <c r="K159" i="3"/>
  <c r="D160" i="3"/>
  <c r="C160" i="3"/>
  <c r="E159" i="3"/>
  <c r="H162" i="3" l="1"/>
  <c r="G162" i="3"/>
  <c r="M160" i="3"/>
  <c r="N160" i="3" s="1"/>
  <c r="O160" i="3" s="1"/>
  <c r="L160" i="3"/>
  <c r="D161" i="3"/>
  <c r="K160" i="3"/>
  <c r="E160" i="3"/>
  <c r="C161" i="3"/>
  <c r="L161" i="3" l="1"/>
  <c r="M161" i="3"/>
  <c r="N161" i="3" s="1"/>
  <c r="O161" i="3" s="1"/>
  <c r="D162" i="3"/>
  <c r="K161" i="3"/>
  <c r="C162" i="3"/>
  <c r="E161" i="3"/>
  <c r="H163" i="3"/>
  <c r="G163" i="3"/>
  <c r="G164" i="3" l="1"/>
  <c r="H164" i="3"/>
  <c r="E162" i="3"/>
  <c r="D163" i="3"/>
  <c r="K162" i="3"/>
  <c r="C163" i="3"/>
  <c r="L162" i="3"/>
  <c r="M162" i="3"/>
  <c r="N162" i="3" s="1"/>
  <c r="O162" i="3" s="1"/>
  <c r="C164" i="3" l="1"/>
  <c r="K163" i="3"/>
  <c r="E163" i="3"/>
  <c r="D164" i="3"/>
  <c r="L163" i="3"/>
  <c r="M163" i="3"/>
  <c r="N163" i="3" s="1"/>
  <c r="O163" i="3" s="1"/>
  <c r="H165" i="3"/>
  <c r="G165" i="3"/>
  <c r="E164" i="3" l="1"/>
  <c r="K164" i="3"/>
  <c r="C165" i="3"/>
  <c r="D165" i="3"/>
  <c r="H166" i="3"/>
  <c r="G166" i="3"/>
  <c r="L164" i="3"/>
  <c r="M164" i="3"/>
  <c r="N164" i="3" s="1"/>
  <c r="O164" i="3" s="1"/>
  <c r="K165" i="3" l="1"/>
  <c r="D166" i="3"/>
  <c r="C166" i="3"/>
  <c r="E165" i="3"/>
  <c r="L165" i="3"/>
  <c r="M165" i="3"/>
  <c r="N165" i="3" s="1"/>
  <c r="O165" i="3" s="1"/>
  <c r="G167" i="3"/>
  <c r="H167" i="3"/>
  <c r="H168" i="3" l="1"/>
  <c r="G168" i="3"/>
  <c r="L166" i="3"/>
  <c r="M166" i="3"/>
  <c r="N166" i="3" s="1"/>
  <c r="O166" i="3" s="1"/>
  <c r="E166" i="3"/>
  <c r="D167" i="3"/>
  <c r="C167" i="3"/>
  <c r="K166" i="3"/>
  <c r="L167" i="3" l="1"/>
  <c r="M167" i="3"/>
  <c r="N167" i="3" s="1"/>
  <c r="O167" i="3" s="1"/>
  <c r="E167" i="3"/>
  <c r="K167" i="3"/>
  <c r="D168" i="3"/>
  <c r="C168" i="3"/>
  <c r="H169" i="3"/>
  <c r="G169" i="3"/>
  <c r="H170" i="3" l="1"/>
  <c r="G170" i="3"/>
  <c r="M168" i="3"/>
  <c r="N168" i="3" s="1"/>
  <c r="O168" i="3" s="1"/>
  <c r="L168" i="3"/>
  <c r="E168" i="3"/>
  <c r="C169" i="3"/>
  <c r="K168" i="3"/>
  <c r="D169" i="3"/>
  <c r="D170" i="3" l="1"/>
  <c r="K169" i="3"/>
  <c r="C170" i="3"/>
  <c r="E169" i="3"/>
  <c r="M169" i="3"/>
  <c r="N169" i="3" s="1"/>
  <c r="O169" i="3" s="1"/>
  <c r="L169" i="3"/>
  <c r="G171" i="3"/>
  <c r="H171" i="3"/>
  <c r="L170" i="3" l="1"/>
  <c r="M170" i="3"/>
  <c r="N170" i="3" s="1"/>
  <c r="O170" i="3" s="1"/>
  <c r="G172" i="3"/>
  <c r="H172" i="3"/>
  <c r="E170" i="3"/>
  <c r="C171" i="3"/>
  <c r="D171" i="3"/>
  <c r="K170" i="3"/>
  <c r="L171" i="3" l="1"/>
  <c r="M171" i="3"/>
  <c r="N171" i="3" s="1"/>
  <c r="O171" i="3" s="1"/>
  <c r="G173" i="3"/>
  <c r="H173" i="3"/>
  <c r="D172" i="3"/>
  <c r="K171" i="3"/>
  <c r="C172" i="3"/>
  <c r="E171" i="3"/>
  <c r="H174" i="3" l="1"/>
  <c r="G174" i="3"/>
  <c r="M172" i="3"/>
  <c r="N172" i="3" s="1"/>
  <c r="O172" i="3" s="1"/>
  <c r="L172" i="3"/>
  <c r="D173" i="3"/>
  <c r="E172" i="3"/>
  <c r="C173" i="3"/>
  <c r="K172" i="3"/>
  <c r="L173" i="3" l="1"/>
  <c r="M173" i="3"/>
  <c r="N173" i="3" s="1"/>
  <c r="O173" i="3" s="1"/>
  <c r="E173" i="3"/>
  <c r="D174" i="3"/>
  <c r="C174" i="3"/>
  <c r="K173" i="3"/>
  <c r="H175" i="3"/>
  <c r="G175" i="3"/>
  <c r="E174" i="3" l="1"/>
  <c r="C175" i="3"/>
  <c r="D175" i="3"/>
  <c r="K174" i="3"/>
  <c r="H176" i="3"/>
  <c r="G176" i="3"/>
  <c r="L174" i="3"/>
  <c r="M174" i="3"/>
  <c r="N174" i="3" s="1"/>
  <c r="O174" i="3" s="1"/>
  <c r="D176" i="3" l="1"/>
  <c r="C176" i="3"/>
  <c r="E175" i="3"/>
  <c r="K175" i="3"/>
  <c r="L175" i="3"/>
  <c r="M175" i="3"/>
  <c r="H177" i="3"/>
  <c r="G177" i="3"/>
  <c r="H178" i="3" l="1"/>
  <c r="G178" i="3"/>
  <c r="L176" i="3"/>
  <c r="M176" i="3"/>
  <c r="N175" i="3"/>
  <c r="O175" i="3" s="1"/>
  <c r="D177" i="3"/>
  <c r="E176" i="3"/>
  <c r="K176" i="3"/>
  <c r="C177" i="3"/>
  <c r="N176" i="3" l="1"/>
  <c r="O176" i="3" s="1"/>
  <c r="C178" i="3"/>
  <c r="E177" i="3"/>
  <c r="D178" i="3"/>
  <c r="K177" i="3"/>
  <c r="L177" i="3"/>
  <c r="M177" i="3"/>
  <c r="N177" i="3" s="1"/>
  <c r="O177" i="3" s="1"/>
  <c r="H179" i="3"/>
  <c r="G179" i="3"/>
  <c r="L178" i="3" l="1"/>
  <c r="M178" i="3"/>
  <c r="N178" i="3" s="1"/>
  <c r="O178" i="3" s="1"/>
  <c r="G180" i="3"/>
  <c r="H180" i="3"/>
  <c r="D179" i="3"/>
  <c r="K178" i="3"/>
  <c r="C179" i="3"/>
  <c r="E178" i="3"/>
  <c r="G181" i="3" l="1"/>
  <c r="H181" i="3"/>
  <c r="L179" i="3"/>
  <c r="M179" i="3"/>
  <c r="N179" i="3" s="1"/>
  <c r="O179" i="3" s="1"/>
  <c r="E179" i="3"/>
  <c r="D180" i="3"/>
  <c r="C180" i="3"/>
  <c r="K179" i="3"/>
  <c r="L180" i="3" l="1"/>
  <c r="M180" i="3"/>
  <c r="N180" i="3" s="1"/>
  <c r="O180" i="3" s="1"/>
  <c r="C181" i="3"/>
  <c r="K180" i="3"/>
  <c r="E180" i="3"/>
  <c r="D181" i="3"/>
  <c r="H182" i="3"/>
  <c r="G182" i="3"/>
  <c r="K181" i="3" l="1"/>
  <c r="D182" i="3"/>
  <c r="C182" i="3"/>
  <c r="E181" i="3"/>
  <c r="G183" i="3"/>
  <c r="H183" i="3"/>
  <c r="L181" i="3"/>
  <c r="M181" i="3"/>
  <c r="N181" i="3" s="1"/>
  <c r="O181" i="3" s="1"/>
  <c r="M182" i="3" l="1"/>
  <c r="L182" i="3"/>
  <c r="H184" i="3"/>
  <c r="G184" i="3"/>
  <c r="D183" i="3"/>
  <c r="C183" i="3"/>
  <c r="E182" i="3"/>
  <c r="K182" i="3"/>
  <c r="H185" i="3" l="1"/>
  <c r="G185" i="3"/>
  <c r="E183" i="3"/>
  <c r="D184" i="3"/>
  <c r="K183" i="3"/>
  <c r="C184" i="3"/>
  <c r="L183" i="3"/>
  <c r="M183" i="3"/>
  <c r="N183" i="3" s="1"/>
  <c r="O183" i="3" s="1"/>
  <c r="N182" i="3"/>
  <c r="O182" i="3" s="1"/>
  <c r="D185" i="3" l="1"/>
  <c r="C185" i="3"/>
  <c r="K184" i="3"/>
  <c r="E184" i="3"/>
  <c r="L184" i="3"/>
  <c r="M184" i="3"/>
  <c r="N184" i="3" s="1"/>
  <c r="O184" i="3" s="1"/>
  <c r="H186" i="3"/>
  <c r="G186" i="3"/>
  <c r="H187" i="3" l="1"/>
  <c r="G187" i="3"/>
  <c r="M185" i="3"/>
  <c r="N185" i="3" s="1"/>
  <c r="O185" i="3" s="1"/>
  <c r="L185" i="3"/>
  <c r="D186" i="3"/>
  <c r="C186" i="3"/>
  <c r="K185" i="3"/>
  <c r="E185" i="3"/>
  <c r="M186" i="3" l="1"/>
  <c r="L186" i="3"/>
  <c r="D187" i="3"/>
  <c r="E186" i="3"/>
  <c r="C187" i="3"/>
  <c r="K186" i="3"/>
  <c r="H188" i="3"/>
  <c r="G188" i="3"/>
  <c r="G189" i="3" l="1"/>
  <c r="H189" i="3"/>
  <c r="D188" i="3"/>
  <c r="C188" i="3"/>
  <c r="E187" i="3"/>
  <c r="K187" i="3"/>
  <c r="L187" i="3"/>
  <c r="M187" i="3"/>
  <c r="N187" i="3" s="1"/>
  <c r="O187" i="3" s="1"/>
  <c r="N186" i="3"/>
  <c r="O186" i="3" s="1"/>
  <c r="L188" i="3" l="1"/>
  <c r="M188" i="3"/>
  <c r="N188" i="3" s="1"/>
  <c r="O188" i="3" s="1"/>
  <c r="E188" i="3"/>
  <c r="D189" i="3"/>
  <c r="K188" i="3"/>
  <c r="C189" i="3"/>
  <c r="H190" i="3"/>
  <c r="G190" i="3"/>
  <c r="E189" i="3" l="1"/>
  <c r="D190" i="3"/>
  <c r="K189" i="3"/>
  <c r="C190" i="3"/>
  <c r="G191" i="3"/>
  <c r="H191" i="3"/>
  <c r="L189" i="3"/>
  <c r="M189" i="3"/>
  <c r="N189" i="3" s="1"/>
  <c r="O189" i="3" s="1"/>
  <c r="L190" i="3" l="1"/>
  <c r="M190" i="3"/>
  <c r="N190" i="3" s="1"/>
  <c r="O190" i="3" s="1"/>
  <c r="G192" i="3"/>
  <c r="H192" i="3"/>
  <c r="K190" i="3"/>
  <c r="C191" i="3"/>
  <c r="E190" i="3"/>
  <c r="D191" i="3"/>
  <c r="E191" i="3" l="1"/>
  <c r="K191" i="3"/>
  <c r="D192" i="3"/>
  <c r="C192" i="3"/>
  <c r="H193" i="3"/>
  <c r="G193" i="3"/>
  <c r="L191" i="3"/>
  <c r="M191" i="3"/>
  <c r="N191" i="3" s="1"/>
  <c r="O191" i="3" s="1"/>
  <c r="C193" i="3" l="1"/>
  <c r="E192" i="3"/>
  <c r="D193" i="3"/>
  <c r="K192" i="3"/>
  <c r="G194" i="3"/>
  <c r="H194" i="3"/>
  <c r="M192" i="3"/>
  <c r="N192" i="3" s="1"/>
  <c r="O192" i="3" s="1"/>
  <c r="L192" i="3"/>
  <c r="K193" i="3" l="1"/>
  <c r="E193" i="3"/>
  <c r="D194" i="3"/>
  <c r="C194" i="3"/>
  <c r="G195" i="3"/>
  <c r="H195" i="3"/>
  <c r="M193" i="3"/>
  <c r="N193" i="3" s="1"/>
  <c r="O193" i="3" s="1"/>
  <c r="L193" i="3"/>
  <c r="M194" i="3" l="1"/>
  <c r="N194" i="3" s="1"/>
  <c r="O194" i="3" s="1"/>
  <c r="L194" i="3"/>
  <c r="D195" i="3"/>
  <c r="E194" i="3"/>
  <c r="C195" i="3"/>
  <c r="K194" i="3"/>
  <c r="G196" i="3"/>
  <c r="H196" i="3"/>
  <c r="G197" i="3" l="1"/>
  <c r="H197" i="3"/>
  <c r="K195" i="3"/>
  <c r="E195" i="3"/>
  <c r="C196" i="3"/>
  <c r="D196" i="3"/>
  <c r="M195" i="3"/>
  <c r="N195" i="3" s="1"/>
  <c r="O195" i="3" s="1"/>
  <c r="L195" i="3"/>
  <c r="C197" i="3" l="1"/>
  <c r="E196" i="3"/>
  <c r="K196" i="3"/>
  <c r="D197" i="3"/>
  <c r="G198" i="3"/>
  <c r="H198" i="3"/>
  <c r="M196" i="3"/>
  <c r="N196" i="3" s="1"/>
  <c r="O196" i="3" s="1"/>
  <c r="L196" i="3"/>
  <c r="D198" i="3" l="1"/>
  <c r="K197" i="3"/>
  <c r="E197" i="3"/>
  <c r="C198" i="3"/>
  <c r="H199" i="3"/>
  <c r="G199" i="3"/>
  <c r="M197" i="3"/>
  <c r="N197" i="3" s="1"/>
  <c r="O197" i="3" s="1"/>
  <c r="L197" i="3"/>
  <c r="L198" i="3" l="1"/>
  <c r="M198" i="3"/>
  <c r="N198" i="3" s="1"/>
  <c r="O198" i="3" s="1"/>
  <c r="H200" i="3"/>
  <c r="G200" i="3"/>
  <c r="C199" i="3"/>
  <c r="E198" i="3"/>
  <c r="D199" i="3"/>
  <c r="K198" i="3"/>
  <c r="E199" i="3" l="1"/>
  <c r="C200" i="3"/>
  <c r="D200" i="3"/>
  <c r="K199" i="3"/>
  <c r="H201" i="3"/>
  <c r="G201" i="3"/>
  <c r="M199" i="3"/>
  <c r="N199" i="3" s="1"/>
  <c r="O199" i="3" s="1"/>
  <c r="L199" i="3"/>
  <c r="H202" i="3" l="1"/>
  <c r="G202" i="3"/>
  <c r="D201" i="3"/>
  <c r="E200" i="3"/>
  <c r="C201" i="3"/>
  <c r="K200" i="3"/>
  <c r="L200" i="3"/>
  <c r="M200" i="3"/>
  <c r="N200" i="3" s="1"/>
  <c r="O200" i="3" s="1"/>
  <c r="C202" i="3" l="1"/>
  <c r="D202" i="3"/>
  <c r="E201" i="3"/>
  <c r="K201" i="3"/>
  <c r="L201" i="3"/>
  <c r="M201" i="3"/>
  <c r="N201" i="3" s="1"/>
  <c r="O201" i="3" s="1"/>
  <c r="H203" i="3"/>
  <c r="G203" i="3"/>
  <c r="D203" i="3" l="1"/>
  <c r="E202" i="3"/>
  <c r="K202" i="3"/>
  <c r="C203" i="3"/>
  <c r="G204" i="3"/>
  <c r="H204" i="3"/>
  <c r="L202" i="3"/>
  <c r="M202" i="3"/>
  <c r="N202" i="3" s="1"/>
  <c r="O202" i="3" s="1"/>
  <c r="L203" i="3" l="1"/>
  <c r="M203" i="3"/>
  <c r="N203" i="3" s="1"/>
  <c r="O203" i="3" s="1"/>
  <c r="G205" i="3"/>
  <c r="H205" i="3"/>
  <c r="D204" i="3"/>
  <c r="E203" i="3"/>
  <c r="C204" i="3"/>
  <c r="K203" i="3"/>
  <c r="H206" i="3" l="1"/>
  <c r="G206" i="3"/>
  <c r="L204" i="3"/>
  <c r="M204" i="3"/>
  <c r="N204" i="3" s="1"/>
  <c r="O204" i="3" s="1"/>
  <c r="K204" i="3"/>
  <c r="E204" i="3"/>
  <c r="C205" i="3"/>
  <c r="D205" i="3"/>
  <c r="E205" i="3" l="1"/>
  <c r="C206" i="3"/>
  <c r="K205" i="3"/>
  <c r="D206" i="3"/>
  <c r="L205" i="3"/>
  <c r="M205" i="3"/>
  <c r="N205" i="3" s="1"/>
  <c r="O205" i="3" s="1"/>
  <c r="H207" i="3"/>
  <c r="G207" i="3"/>
  <c r="K206" i="3" l="1"/>
  <c r="E206" i="3"/>
  <c r="C207" i="3"/>
  <c r="D207" i="3"/>
  <c r="G208" i="3"/>
  <c r="H208" i="3"/>
  <c r="L206" i="3"/>
  <c r="M206" i="3"/>
  <c r="N206" i="3" l="1"/>
  <c r="O206" i="3" s="1"/>
  <c r="C208" i="3"/>
  <c r="E207" i="3"/>
  <c r="D208" i="3"/>
  <c r="K207" i="3"/>
  <c r="M207" i="3"/>
  <c r="N207" i="3" s="1"/>
  <c r="O207" i="3" s="1"/>
  <c r="L207" i="3"/>
  <c r="H209" i="3"/>
  <c r="G209" i="3"/>
  <c r="H210" i="3" l="1"/>
  <c r="G210" i="3"/>
  <c r="D209" i="3"/>
  <c r="K208" i="3"/>
  <c r="C209" i="3"/>
  <c r="E208" i="3"/>
  <c r="M208" i="3"/>
  <c r="N208" i="3" s="1"/>
  <c r="O208" i="3" s="1"/>
  <c r="L208" i="3"/>
  <c r="D210" i="3" l="1"/>
  <c r="C210" i="3"/>
  <c r="E209" i="3"/>
  <c r="K209" i="3"/>
  <c r="L209" i="3"/>
  <c r="M209" i="3"/>
  <c r="N209" i="3" s="1"/>
  <c r="O209" i="3" s="1"/>
  <c r="H211" i="3"/>
  <c r="G211" i="3"/>
  <c r="L210" i="3" l="1"/>
  <c r="M210" i="3"/>
  <c r="N210" i="3" s="1"/>
  <c r="O210" i="3" s="1"/>
  <c r="H212" i="3"/>
  <c r="G212" i="3"/>
  <c r="D211" i="3"/>
  <c r="K210" i="3"/>
  <c r="C211" i="3"/>
  <c r="E210" i="3"/>
  <c r="L211" i="3" l="1"/>
  <c r="M211" i="3"/>
  <c r="N211" i="3" s="1"/>
  <c r="O211" i="3" s="1"/>
  <c r="H213" i="3"/>
  <c r="G213" i="3"/>
  <c r="K211" i="3"/>
  <c r="D212" i="3"/>
  <c r="C212" i="3"/>
  <c r="E211" i="3"/>
  <c r="E212" i="3" l="1"/>
  <c r="K212" i="3"/>
  <c r="D213" i="3"/>
  <c r="C213" i="3"/>
  <c r="L212" i="3"/>
  <c r="M212" i="3"/>
  <c r="N212" i="3" s="1"/>
  <c r="O212" i="3" s="1"/>
  <c r="H214" i="3"/>
  <c r="G214" i="3"/>
  <c r="M213" i="3" l="1"/>
  <c r="N213" i="3" s="1"/>
  <c r="O213" i="3" s="1"/>
  <c r="L213" i="3"/>
  <c r="G215" i="3"/>
  <c r="H215" i="3"/>
  <c r="D214" i="3"/>
  <c r="K213" i="3"/>
  <c r="E213" i="3"/>
  <c r="C214" i="3"/>
  <c r="K214" i="3" l="1"/>
  <c r="E214" i="3"/>
  <c r="D215" i="3"/>
  <c r="C215" i="3"/>
  <c r="M214" i="3"/>
  <c r="N214" i="3" s="1"/>
  <c r="O214" i="3" s="1"/>
  <c r="L214" i="3"/>
  <c r="H216" i="3"/>
  <c r="G216" i="3"/>
  <c r="M215" i="3" l="1"/>
  <c r="N215" i="3" s="1"/>
  <c r="O215" i="3" s="1"/>
  <c r="L215" i="3"/>
  <c r="H217" i="3"/>
  <c r="G217" i="3"/>
  <c r="D216" i="3"/>
  <c r="C216" i="3"/>
  <c r="K215" i="3"/>
  <c r="E215" i="3"/>
  <c r="G218" i="3" l="1"/>
  <c r="H218" i="3"/>
  <c r="K216" i="3"/>
  <c r="C217" i="3"/>
  <c r="E216" i="3"/>
  <c r="D217" i="3"/>
  <c r="L216" i="3"/>
  <c r="M216" i="3"/>
  <c r="N216" i="3" s="1"/>
  <c r="O216" i="3" s="1"/>
  <c r="L217" i="3" l="1"/>
  <c r="M217" i="3"/>
  <c r="N217" i="3" s="1"/>
  <c r="O217" i="3" s="1"/>
  <c r="D218" i="3"/>
  <c r="K217" i="3"/>
  <c r="C218" i="3"/>
  <c r="E217" i="3"/>
  <c r="H219" i="3"/>
  <c r="G219" i="3"/>
  <c r="H220" i="3" l="1"/>
  <c r="G220" i="3"/>
  <c r="D219" i="3"/>
  <c r="K218" i="3"/>
  <c r="E218" i="3"/>
  <c r="C219" i="3"/>
  <c r="L218" i="3"/>
  <c r="M218" i="3"/>
  <c r="N218" i="3" s="1"/>
  <c r="O218" i="3" s="1"/>
  <c r="E219" i="3" l="1"/>
  <c r="C220" i="3"/>
  <c r="D220" i="3"/>
  <c r="K219" i="3"/>
  <c r="M219" i="3"/>
  <c r="N219" i="3" s="1"/>
  <c r="O219" i="3" s="1"/>
  <c r="L219" i="3"/>
  <c r="G221" i="3"/>
  <c r="H221" i="3"/>
  <c r="H222" i="3" l="1"/>
  <c r="G222" i="3"/>
  <c r="D221" i="3"/>
  <c r="C221" i="3"/>
  <c r="E220" i="3"/>
  <c r="K220" i="3"/>
  <c r="M220" i="3"/>
  <c r="N220" i="3" s="1"/>
  <c r="O220" i="3" s="1"/>
  <c r="L220" i="3"/>
  <c r="M221" i="3" l="1"/>
  <c r="N221" i="3" s="1"/>
  <c r="O221" i="3" s="1"/>
  <c r="L221" i="3"/>
  <c r="D222" i="3"/>
  <c r="E221" i="3"/>
  <c r="C222" i="3"/>
  <c r="K221" i="3"/>
  <c r="H223" i="3"/>
  <c r="G223" i="3"/>
  <c r="L222" i="3" l="1"/>
  <c r="M222" i="3"/>
  <c r="N222" i="3" s="1"/>
  <c r="O222" i="3" s="1"/>
  <c r="H224" i="3"/>
  <c r="G224" i="3"/>
  <c r="K222" i="3"/>
  <c r="C223" i="3"/>
  <c r="D223" i="3"/>
  <c r="E222" i="3"/>
  <c r="M223" i="3" l="1"/>
  <c r="N223" i="3" s="1"/>
  <c r="O223" i="3" s="1"/>
  <c r="L223" i="3"/>
  <c r="D224" i="3"/>
  <c r="C224" i="3"/>
  <c r="K223" i="3"/>
  <c r="E223" i="3"/>
  <c r="G225" i="3"/>
  <c r="H225" i="3"/>
  <c r="G226" i="3" l="1"/>
  <c r="H226" i="3"/>
  <c r="M224" i="3"/>
  <c r="N224" i="3" s="1"/>
  <c r="O224" i="3" s="1"/>
  <c r="L224" i="3"/>
  <c r="C225" i="3"/>
  <c r="D225" i="3"/>
  <c r="K224" i="3"/>
  <c r="E224" i="3"/>
  <c r="H227" i="3" l="1"/>
  <c r="G227" i="3"/>
  <c r="K225" i="3"/>
  <c r="D226" i="3"/>
  <c r="C226" i="3"/>
  <c r="E225" i="3"/>
  <c r="M225" i="3"/>
  <c r="N225" i="3" s="1"/>
  <c r="O225" i="3" s="1"/>
  <c r="L225" i="3"/>
  <c r="C227" i="3" l="1"/>
  <c r="D227" i="3"/>
  <c r="E226" i="3"/>
  <c r="K226" i="3"/>
  <c r="M226" i="3"/>
  <c r="N226" i="3" s="1"/>
  <c r="O226" i="3" s="1"/>
  <c r="L226" i="3"/>
  <c r="H228" i="3"/>
  <c r="G228" i="3"/>
  <c r="H229" i="3" l="1"/>
  <c r="G229" i="3"/>
  <c r="E227" i="3"/>
  <c r="D228" i="3"/>
  <c r="C228" i="3"/>
  <c r="K227" i="3"/>
  <c r="L227" i="3"/>
  <c r="M227" i="3"/>
  <c r="N227" i="3" s="1"/>
  <c r="O227" i="3" s="1"/>
  <c r="E228" i="3" l="1"/>
  <c r="D229" i="3"/>
  <c r="C229" i="3"/>
  <c r="K228" i="3"/>
  <c r="L228" i="3"/>
  <c r="M228" i="3"/>
  <c r="N228" i="3" s="1"/>
  <c r="O228" i="3" s="1"/>
  <c r="H230" i="3"/>
  <c r="G230" i="3"/>
  <c r="G231" i="3" l="1"/>
  <c r="H231" i="3"/>
  <c r="M229" i="3"/>
  <c r="N229" i="3" s="1"/>
  <c r="O229" i="3" s="1"/>
  <c r="L229" i="3"/>
  <c r="E229" i="3"/>
  <c r="C230" i="3"/>
  <c r="D230" i="3"/>
  <c r="K229" i="3"/>
  <c r="D231" i="3" l="1"/>
  <c r="K230" i="3"/>
  <c r="E230" i="3"/>
  <c r="C231" i="3"/>
  <c r="L230" i="3"/>
  <c r="M230" i="3"/>
  <c r="N230" i="3" s="1"/>
  <c r="O230" i="3" s="1"/>
  <c r="G232" i="3"/>
  <c r="H232" i="3"/>
  <c r="H233" i="3" l="1"/>
  <c r="G233" i="3"/>
  <c r="L231" i="3"/>
  <c r="M231" i="3"/>
  <c r="N231" i="3" s="1"/>
  <c r="O231" i="3" s="1"/>
  <c r="D232" i="3"/>
  <c r="C232" i="3"/>
  <c r="E231" i="3"/>
  <c r="K231" i="3"/>
  <c r="L232" i="3" l="1"/>
  <c r="M232" i="3"/>
  <c r="N232" i="3" s="1"/>
  <c r="O232" i="3" s="1"/>
  <c r="K232" i="3"/>
  <c r="D233" i="3"/>
  <c r="E232" i="3"/>
  <c r="C233" i="3"/>
  <c r="H234" i="3"/>
  <c r="G234" i="3"/>
  <c r="L233" i="3" l="1"/>
  <c r="M233" i="3"/>
  <c r="N233" i="3" s="1"/>
  <c r="O233" i="3" s="1"/>
  <c r="C234" i="3"/>
  <c r="E233" i="3"/>
  <c r="K233" i="3"/>
  <c r="D234" i="3"/>
  <c r="H235" i="3"/>
  <c r="G235" i="3"/>
  <c r="E234" i="3" l="1"/>
  <c r="K234" i="3"/>
  <c r="C235" i="3"/>
  <c r="D235" i="3"/>
  <c r="G236" i="3"/>
  <c r="H236" i="3"/>
  <c r="L234" i="3"/>
  <c r="M234" i="3"/>
  <c r="N234" i="3" s="1"/>
  <c r="O234" i="3" s="1"/>
  <c r="E235" i="3" l="1"/>
  <c r="C236" i="3"/>
  <c r="K235" i="3"/>
  <c r="D236" i="3"/>
  <c r="M235" i="3"/>
  <c r="N235" i="3" s="1"/>
  <c r="O235" i="3" s="1"/>
  <c r="L235" i="3"/>
  <c r="H237" i="3"/>
  <c r="G237" i="3"/>
  <c r="D237" i="3" l="1"/>
  <c r="E236" i="3"/>
  <c r="C237" i="3"/>
  <c r="K236" i="3"/>
  <c r="H238" i="3"/>
  <c r="G238" i="3"/>
  <c r="M236" i="3"/>
  <c r="N236" i="3" s="1"/>
  <c r="O236" i="3" s="1"/>
  <c r="L236" i="3"/>
  <c r="L237" i="3" l="1"/>
  <c r="M237" i="3"/>
  <c r="N237" i="3" s="1"/>
  <c r="O237" i="3" s="1"/>
  <c r="G239" i="3"/>
  <c r="H239" i="3"/>
  <c r="K237" i="3"/>
  <c r="E237" i="3"/>
  <c r="D238" i="3"/>
  <c r="C238" i="3"/>
  <c r="L238" i="3" l="1"/>
  <c r="M238" i="3"/>
  <c r="N238" i="3" s="1"/>
  <c r="O238" i="3" s="1"/>
  <c r="G240" i="3"/>
  <c r="H240" i="3"/>
  <c r="C239" i="3"/>
  <c r="K238" i="3"/>
  <c r="E238" i="3"/>
  <c r="D239" i="3"/>
  <c r="C240" i="3" l="1"/>
  <c r="D240" i="3"/>
  <c r="E239" i="3"/>
  <c r="K239" i="3"/>
  <c r="H241" i="3"/>
  <c r="G241" i="3"/>
  <c r="L239" i="3"/>
  <c r="M239" i="3"/>
  <c r="N239" i="3" s="1"/>
  <c r="O239" i="3" s="1"/>
  <c r="D241" i="3" l="1"/>
  <c r="E240" i="3"/>
  <c r="K240" i="3"/>
  <c r="C241" i="3"/>
  <c r="G242" i="3"/>
  <c r="H242" i="3"/>
  <c r="L240" i="3"/>
  <c r="M240" i="3"/>
  <c r="N240" i="3" s="1"/>
  <c r="O240" i="3" s="1"/>
  <c r="M241" i="3" l="1"/>
  <c r="N241" i="3" s="1"/>
  <c r="O241" i="3" s="1"/>
  <c r="L241" i="3"/>
  <c r="G243" i="3"/>
  <c r="H243" i="3"/>
  <c r="K241" i="3"/>
  <c r="E241" i="3"/>
  <c r="C242" i="3"/>
  <c r="D242" i="3"/>
  <c r="H244" i="3" l="1"/>
  <c r="G244" i="3"/>
  <c r="E242" i="3"/>
  <c r="C243" i="3"/>
  <c r="D243" i="3"/>
  <c r="K242" i="3"/>
  <c r="L242" i="3"/>
  <c r="M242" i="3"/>
  <c r="N242" i="3" s="1"/>
  <c r="O242" i="3" s="1"/>
  <c r="L243" i="3" l="1"/>
  <c r="M243" i="3"/>
  <c r="N243" i="3" s="1"/>
  <c r="O243" i="3" s="1"/>
  <c r="E243" i="3"/>
  <c r="K243" i="3"/>
  <c r="C244" i="3"/>
  <c r="D244" i="3"/>
  <c r="G245" i="3"/>
  <c r="H245" i="3"/>
  <c r="H246" i="3" l="1"/>
  <c r="G246" i="3"/>
  <c r="E244" i="3"/>
  <c r="K244" i="3"/>
  <c r="C245" i="3"/>
  <c r="D245" i="3"/>
  <c r="L244" i="3"/>
  <c r="M244" i="3"/>
  <c r="N244" i="3" s="1"/>
  <c r="O244" i="3" s="1"/>
  <c r="D246" i="3" l="1"/>
  <c r="K245" i="3"/>
  <c r="C246" i="3"/>
  <c r="E245" i="3"/>
  <c r="L245" i="3"/>
  <c r="M245" i="3"/>
  <c r="N245" i="3" s="1"/>
  <c r="O245" i="3" s="1"/>
  <c r="G247" i="3"/>
  <c r="H247" i="3"/>
  <c r="G248" i="3" l="1"/>
  <c r="H248" i="3"/>
  <c r="L246" i="3"/>
  <c r="M246" i="3"/>
  <c r="N246" i="3" s="1"/>
  <c r="O246" i="3" s="1"/>
  <c r="D247" i="3"/>
  <c r="C247" i="3"/>
  <c r="E246" i="3"/>
  <c r="K246" i="3"/>
  <c r="M247" i="3" l="1"/>
  <c r="N247" i="3" s="1"/>
  <c r="O247" i="3" s="1"/>
  <c r="L247" i="3"/>
  <c r="H249" i="3"/>
  <c r="G249" i="3"/>
  <c r="E247" i="3"/>
  <c r="D248" i="3"/>
  <c r="K247" i="3"/>
  <c r="C248" i="3"/>
  <c r="L248" i="3" l="1"/>
  <c r="M248" i="3"/>
  <c r="N248" i="3" s="1"/>
  <c r="O248" i="3" s="1"/>
  <c r="G250" i="3"/>
  <c r="H250" i="3"/>
  <c r="K248" i="3"/>
  <c r="C249" i="3"/>
  <c r="E248" i="3"/>
  <c r="D249" i="3"/>
  <c r="M249" i="3" l="1"/>
  <c r="N249" i="3" s="1"/>
  <c r="O249" i="3" s="1"/>
  <c r="L249" i="3"/>
  <c r="E249" i="3"/>
  <c r="D250" i="3"/>
  <c r="K249" i="3"/>
  <c r="C250" i="3"/>
  <c r="H251" i="3"/>
  <c r="G251" i="3"/>
  <c r="D251" i="3" l="1"/>
  <c r="E250" i="3"/>
  <c r="C251" i="3"/>
  <c r="K250" i="3"/>
  <c r="G252" i="3"/>
  <c r="H252" i="3"/>
  <c r="L250" i="3"/>
  <c r="M250" i="3"/>
  <c r="N250" i="3" s="1"/>
  <c r="O250" i="3" s="1"/>
  <c r="L251" i="3" l="1"/>
  <c r="M251" i="3"/>
  <c r="N251" i="3" s="1"/>
  <c r="O251" i="3" s="1"/>
  <c r="G253" i="3"/>
  <c r="H253" i="3"/>
  <c r="K251" i="3"/>
  <c r="D252" i="3"/>
  <c r="E251" i="3"/>
  <c r="C252" i="3"/>
  <c r="C253" i="3" l="1"/>
  <c r="E252" i="3"/>
  <c r="K252" i="3"/>
  <c r="D253" i="3"/>
  <c r="L252" i="3"/>
  <c r="M252" i="3"/>
  <c r="N252" i="3" s="1"/>
  <c r="O252" i="3" s="1"/>
  <c r="H254" i="3"/>
  <c r="G254" i="3"/>
  <c r="G255" i="3" l="1"/>
  <c r="H255" i="3"/>
  <c r="E253" i="3"/>
  <c r="D254" i="3"/>
  <c r="K253" i="3"/>
  <c r="C254" i="3"/>
  <c r="L253" i="3"/>
  <c r="M253" i="3"/>
  <c r="N253" i="3" s="1"/>
  <c r="O253" i="3" s="1"/>
  <c r="C255" i="3" l="1"/>
  <c r="K254" i="3"/>
  <c r="E254" i="3"/>
  <c r="D255" i="3"/>
  <c r="L254" i="3"/>
  <c r="M254" i="3"/>
  <c r="N254" i="3" s="1"/>
  <c r="O254" i="3" s="1"/>
  <c r="H256" i="3"/>
  <c r="G256" i="3"/>
  <c r="G257" i="3" l="1"/>
  <c r="H257" i="3"/>
  <c r="C256" i="3"/>
  <c r="K255" i="3"/>
  <c r="E255" i="3"/>
  <c r="D256" i="3"/>
  <c r="L255" i="3"/>
  <c r="M255" i="3"/>
  <c r="N255" i="3" s="1"/>
  <c r="O255" i="3" s="1"/>
  <c r="L256" i="3" l="1"/>
  <c r="M256" i="3"/>
  <c r="N256" i="3" s="1"/>
  <c r="O256" i="3" s="1"/>
  <c r="E256" i="3"/>
  <c r="K256" i="3"/>
  <c r="C257" i="3"/>
  <c r="D257" i="3"/>
  <c r="G258" i="3"/>
  <c r="H258" i="3"/>
  <c r="G259" i="3" l="1"/>
  <c r="H259" i="3"/>
  <c r="K257" i="3"/>
  <c r="C258" i="3"/>
  <c r="D258" i="3"/>
  <c r="E257" i="3"/>
  <c r="M257" i="3"/>
  <c r="N257" i="3" s="1"/>
  <c r="O257" i="3" s="1"/>
  <c r="L257" i="3"/>
  <c r="L258" i="3" l="1"/>
  <c r="M258" i="3"/>
  <c r="N258" i="3" s="1"/>
  <c r="O258" i="3" s="1"/>
  <c r="G260" i="3"/>
  <c r="H260" i="3"/>
  <c r="K258" i="3"/>
  <c r="C259" i="3"/>
  <c r="D259" i="3"/>
  <c r="E258" i="3"/>
  <c r="H261" i="3" l="1"/>
  <c r="G261" i="3"/>
  <c r="M259" i="3"/>
  <c r="N259" i="3" s="1"/>
  <c r="O259" i="3" s="1"/>
  <c r="L259" i="3"/>
  <c r="D260" i="3"/>
  <c r="E259" i="3"/>
  <c r="C260" i="3"/>
  <c r="K259" i="3"/>
  <c r="L260" i="3" l="1"/>
  <c r="M260" i="3"/>
  <c r="D261" i="3"/>
  <c r="C261" i="3"/>
  <c r="E260" i="3"/>
  <c r="K260" i="3"/>
  <c r="G262" i="3"/>
  <c r="H262" i="3"/>
  <c r="N260" i="3" l="1"/>
  <c r="O260" i="3" s="1"/>
  <c r="H263" i="3"/>
  <c r="G263" i="3"/>
  <c r="L261" i="3"/>
  <c r="M261" i="3"/>
  <c r="N261" i="3" s="1"/>
  <c r="O261" i="3" s="1"/>
  <c r="C262" i="3"/>
  <c r="E261" i="3"/>
  <c r="D262" i="3"/>
  <c r="K261" i="3"/>
  <c r="K262" i="3" l="1"/>
  <c r="E262" i="3"/>
  <c r="D263" i="3"/>
  <c r="C263" i="3"/>
  <c r="M262" i="3"/>
  <c r="N262" i="3" s="1"/>
  <c r="O262" i="3" s="1"/>
  <c r="L262" i="3"/>
  <c r="G264" i="3"/>
  <c r="H264" i="3"/>
  <c r="H265" i="3" l="1"/>
  <c r="G265" i="3"/>
  <c r="L263" i="3"/>
  <c r="M263" i="3"/>
  <c r="N263" i="3" s="1"/>
  <c r="O263" i="3" s="1"/>
  <c r="K263" i="3"/>
  <c r="E263" i="3"/>
  <c r="D264" i="3"/>
  <c r="C264" i="3"/>
  <c r="L264" i="3" l="1"/>
  <c r="M264" i="3"/>
  <c r="N264" i="3" s="1"/>
  <c r="O264" i="3" s="1"/>
  <c r="E264" i="3"/>
  <c r="K264" i="3"/>
  <c r="D265" i="3"/>
  <c r="C265" i="3"/>
  <c r="G266" i="3"/>
  <c r="H266" i="3"/>
  <c r="G267" i="3" l="1"/>
  <c r="H267" i="3"/>
  <c r="M265" i="3"/>
  <c r="N265" i="3" s="1"/>
  <c r="O265" i="3" s="1"/>
  <c r="L265" i="3"/>
  <c r="D266" i="3"/>
  <c r="E265" i="3"/>
  <c r="K265" i="3"/>
  <c r="C266" i="3"/>
  <c r="L266" i="3" l="1"/>
  <c r="M266" i="3"/>
  <c r="N266" i="3" s="1"/>
  <c r="O266" i="3" s="1"/>
  <c r="H268" i="3"/>
  <c r="G268" i="3"/>
  <c r="C267" i="3"/>
  <c r="D267" i="3"/>
  <c r="E266" i="3"/>
  <c r="K266" i="3"/>
  <c r="H269" i="3" l="1"/>
  <c r="G269" i="3"/>
  <c r="E267" i="3"/>
  <c r="C268" i="3"/>
  <c r="D268" i="3"/>
  <c r="K267" i="3"/>
  <c r="L267" i="3"/>
  <c r="M267" i="3"/>
  <c r="N267" i="3" s="1"/>
  <c r="O267" i="3" s="1"/>
  <c r="L268" i="3" l="1"/>
  <c r="M268" i="3"/>
  <c r="N268" i="3" s="1"/>
  <c r="O268" i="3" s="1"/>
  <c r="D269" i="3"/>
  <c r="K268" i="3"/>
  <c r="C269" i="3"/>
  <c r="E268" i="3"/>
  <c r="H270" i="3"/>
  <c r="G270" i="3"/>
  <c r="G271" i="3" l="1"/>
  <c r="H271" i="3"/>
  <c r="K269" i="3"/>
  <c r="C270" i="3"/>
  <c r="D270" i="3"/>
  <c r="E269" i="3"/>
  <c r="M269" i="3"/>
  <c r="N269" i="3" s="1"/>
  <c r="O269" i="3" s="1"/>
  <c r="L269" i="3"/>
  <c r="L270" i="3" l="1"/>
  <c r="M270" i="3"/>
  <c r="N270" i="3" s="1"/>
  <c r="O270" i="3" s="1"/>
  <c r="H272" i="3"/>
  <c r="G272" i="3"/>
  <c r="D271" i="3"/>
  <c r="E270" i="3"/>
  <c r="K270" i="3"/>
  <c r="C271" i="3"/>
  <c r="M271" i="3" l="1"/>
  <c r="N271" i="3" s="1"/>
  <c r="O271" i="3" s="1"/>
  <c r="L271" i="3"/>
  <c r="H273" i="3"/>
  <c r="G273" i="3"/>
  <c r="K271" i="3"/>
  <c r="D272" i="3"/>
  <c r="E271" i="3"/>
  <c r="C272" i="3"/>
  <c r="M272" i="3" l="1"/>
  <c r="N272" i="3" s="1"/>
  <c r="O272" i="3" s="1"/>
  <c r="L272" i="3"/>
  <c r="H274" i="3"/>
  <c r="G274" i="3"/>
  <c r="D273" i="3"/>
  <c r="K272" i="3"/>
  <c r="E272" i="3"/>
  <c r="C273" i="3"/>
  <c r="C274" i="3" l="1"/>
  <c r="E273" i="3"/>
  <c r="D274" i="3"/>
  <c r="K273" i="3"/>
  <c r="M273" i="3"/>
  <c r="N273" i="3" s="1"/>
  <c r="O273" i="3" s="1"/>
  <c r="L273" i="3"/>
  <c r="H275" i="3"/>
  <c r="G275" i="3"/>
  <c r="H276" i="3" l="1"/>
  <c r="G276" i="3"/>
  <c r="E274" i="3"/>
  <c r="D275" i="3"/>
  <c r="K274" i="3"/>
  <c r="C275" i="3"/>
  <c r="L274" i="3"/>
  <c r="M274" i="3"/>
  <c r="N274" i="3" s="1"/>
  <c r="O274" i="3" s="1"/>
  <c r="D276" i="3" l="1"/>
  <c r="E275" i="3"/>
  <c r="K275" i="3"/>
  <c r="C276" i="3"/>
  <c r="L275" i="3"/>
  <c r="M275" i="3"/>
  <c r="N275" i="3" s="1"/>
  <c r="O275" i="3" s="1"/>
  <c r="H277" i="3"/>
  <c r="G277" i="3"/>
  <c r="G278" i="3" l="1"/>
  <c r="H278" i="3"/>
  <c r="L276" i="3"/>
  <c r="M276" i="3"/>
  <c r="N276" i="3" s="1"/>
  <c r="O276" i="3" s="1"/>
  <c r="E276" i="3"/>
  <c r="D277" i="3"/>
  <c r="C277" i="3"/>
  <c r="K276" i="3"/>
  <c r="L277" i="3" l="1"/>
  <c r="M277" i="3"/>
  <c r="N277" i="3" s="1"/>
  <c r="O277" i="3" s="1"/>
  <c r="C278" i="3"/>
  <c r="D278" i="3"/>
  <c r="K277" i="3"/>
  <c r="E277" i="3"/>
  <c r="H279" i="3"/>
  <c r="G279" i="3"/>
  <c r="K278" i="3" l="1"/>
  <c r="D279" i="3"/>
  <c r="E278" i="3"/>
  <c r="C279" i="3"/>
  <c r="G280" i="3"/>
  <c r="H280" i="3"/>
  <c r="L278" i="3"/>
  <c r="M278" i="3"/>
  <c r="N278" i="3" s="1"/>
  <c r="O278" i="3" s="1"/>
  <c r="M279" i="3" l="1"/>
  <c r="N279" i="3" s="1"/>
  <c r="O279" i="3" s="1"/>
  <c r="L279" i="3"/>
  <c r="H281" i="3"/>
  <c r="G281" i="3"/>
  <c r="K279" i="3"/>
  <c r="E279" i="3"/>
  <c r="D280" i="3"/>
  <c r="C280" i="3"/>
  <c r="L280" i="3" l="1"/>
  <c r="M280" i="3"/>
  <c r="N280" i="3" s="1"/>
  <c r="O280" i="3" s="1"/>
  <c r="C281" i="3"/>
  <c r="E280" i="3"/>
  <c r="K280" i="3"/>
  <c r="D281" i="3"/>
  <c r="G282" i="3"/>
  <c r="H282" i="3"/>
  <c r="G283" i="3" l="1"/>
  <c r="H283" i="3"/>
  <c r="L281" i="3"/>
  <c r="M281" i="3"/>
  <c r="N281" i="3" s="1"/>
  <c r="O281" i="3" s="1"/>
  <c r="K281" i="3"/>
  <c r="D282" i="3"/>
  <c r="E281" i="3"/>
  <c r="C282" i="3"/>
  <c r="M282" i="3" l="1"/>
  <c r="L282" i="3"/>
  <c r="D283" i="3"/>
  <c r="E282" i="3"/>
  <c r="K282" i="3"/>
  <c r="C283" i="3"/>
  <c r="G284" i="3"/>
  <c r="H284" i="3"/>
  <c r="H285" i="3" l="1"/>
  <c r="G285" i="3"/>
  <c r="C284" i="3"/>
  <c r="D284" i="3"/>
  <c r="E283" i="3"/>
  <c r="K283" i="3"/>
  <c r="L283" i="3"/>
  <c r="M283" i="3"/>
  <c r="N283" i="3" s="1"/>
  <c r="O283" i="3" s="1"/>
  <c r="N282" i="3"/>
  <c r="O282" i="3" s="1"/>
  <c r="E284" i="3" l="1"/>
  <c r="D285" i="3"/>
  <c r="K284" i="3"/>
  <c r="C285" i="3"/>
  <c r="L284" i="3"/>
  <c r="M284" i="3"/>
  <c r="N284" i="3" s="1"/>
  <c r="O284" i="3" s="1"/>
  <c r="H286" i="3"/>
  <c r="G286" i="3"/>
  <c r="L285" i="3" l="1"/>
  <c r="M285" i="3"/>
  <c r="N285" i="3" s="1"/>
  <c r="O285" i="3" s="1"/>
  <c r="G287" i="3"/>
  <c r="H287" i="3"/>
  <c r="C286" i="3"/>
  <c r="D286" i="3"/>
  <c r="E285" i="3"/>
  <c r="K285" i="3"/>
  <c r="H288" i="3" l="1"/>
  <c r="G288" i="3"/>
  <c r="D287" i="3"/>
  <c r="E286" i="3"/>
  <c r="C287" i="3"/>
  <c r="K286" i="3"/>
  <c r="L286" i="3"/>
  <c r="M286" i="3"/>
  <c r="N286" i="3" s="1"/>
  <c r="O286" i="3" s="1"/>
  <c r="E287" i="3" l="1"/>
  <c r="D288" i="3"/>
  <c r="K287" i="3"/>
  <c r="C288" i="3"/>
  <c r="M287" i="3"/>
  <c r="N287" i="3" s="1"/>
  <c r="O287" i="3" s="1"/>
  <c r="L287" i="3"/>
  <c r="H289" i="3"/>
  <c r="G289" i="3"/>
  <c r="M288" i="3" l="1"/>
  <c r="L288" i="3"/>
  <c r="G290" i="3"/>
  <c r="H290" i="3"/>
  <c r="K288" i="3"/>
  <c r="E288" i="3"/>
  <c r="C289" i="3"/>
  <c r="D289" i="3"/>
  <c r="C290" i="3" l="1"/>
  <c r="K289" i="3"/>
  <c r="D290" i="3"/>
  <c r="E289" i="3"/>
  <c r="H291" i="3"/>
  <c r="G291" i="3"/>
  <c r="M289" i="3"/>
  <c r="N289" i="3" s="1"/>
  <c r="O289" i="3" s="1"/>
  <c r="L289" i="3"/>
  <c r="N288" i="3"/>
  <c r="O288" i="3" s="1"/>
  <c r="E290" i="3" l="1"/>
  <c r="D291" i="3"/>
  <c r="C291" i="3"/>
  <c r="K290" i="3"/>
  <c r="G292" i="3"/>
  <c r="H292" i="3"/>
  <c r="L290" i="3"/>
  <c r="M290" i="3"/>
  <c r="N290" i="3" s="1"/>
  <c r="O290" i="3" s="1"/>
  <c r="M291" i="3" l="1"/>
  <c r="N291" i="3" s="1"/>
  <c r="O291" i="3" s="1"/>
  <c r="L291" i="3"/>
  <c r="H293" i="3"/>
  <c r="G293" i="3"/>
  <c r="E291" i="3"/>
  <c r="D292" i="3"/>
  <c r="C292" i="3"/>
  <c r="K291" i="3"/>
  <c r="M292" i="3" l="1"/>
  <c r="N292" i="3" s="1"/>
  <c r="O292" i="3" s="1"/>
  <c r="L292" i="3"/>
  <c r="G294" i="3"/>
  <c r="H294" i="3"/>
  <c r="C293" i="3"/>
  <c r="K292" i="3"/>
  <c r="E292" i="3"/>
  <c r="D293" i="3"/>
  <c r="D294" i="3" l="1"/>
  <c r="K293" i="3"/>
  <c r="E293" i="3"/>
  <c r="C294" i="3"/>
  <c r="G295" i="3"/>
  <c r="H295" i="3"/>
  <c r="L293" i="3"/>
  <c r="M293" i="3"/>
  <c r="N293" i="3" s="1"/>
  <c r="O293" i="3" s="1"/>
  <c r="M294" i="3" l="1"/>
  <c r="N294" i="3" s="1"/>
  <c r="O294" i="3" s="1"/>
  <c r="L294" i="3"/>
  <c r="H296" i="3"/>
  <c r="G296" i="3"/>
  <c r="E294" i="3"/>
  <c r="D295" i="3"/>
  <c r="C295" i="3"/>
  <c r="K294" i="3"/>
  <c r="L295" i="3" l="1"/>
  <c r="M295" i="3"/>
  <c r="N295" i="3" s="1"/>
  <c r="O295" i="3" s="1"/>
  <c r="G297" i="3"/>
  <c r="H297" i="3"/>
  <c r="E295" i="3"/>
  <c r="K295" i="3"/>
  <c r="D296" i="3"/>
  <c r="C296" i="3"/>
  <c r="L296" i="3" l="1"/>
  <c r="M296" i="3"/>
  <c r="N296" i="3" s="1"/>
  <c r="O296" i="3" s="1"/>
  <c r="G298" i="3"/>
  <c r="H298" i="3"/>
  <c r="K296" i="3"/>
  <c r="C297" i="3"/>
  <c r="E296" i="3"/>
  <c r="D297" i="3"/>
  <c r="L297" i="3" l="1"/>
  <c r="M297" i="3"/>
  <c r="N297" i="3" s="1"/>
  <c r="O297" i="3" s="1"/>
  <c r="C298" i="3"/>
  <c r="E297" i="3"/>
  <c r="D298" i="3"/>
  <c r="K297" i="3"/>
  <c r="G299" i="3"/>
  <c r="H299" i="3"/>
  <c r="H300" i="3" l="1"/>
  <c r="G300" i="3"/>
  <c r="L298" i="3"/>
  <c r="M298" i="3"/>
  <c r="N298" i="3" s="1"/>
  <c r="O298" i="3" s="1"/>
  <c r="C299" i="3"/>
  <c r="K298" i="3"/>
  <c r="D299" i="3"/>
  <c r="E298" i="3"/>
  <c r="D300" i="3" l="1"/>
  <c r="E299" i="3"/>
  <c r="C300" i="3"/>
  <c r="K299" i="3"/>
  <c r="M299" i="3"/>
  <c r="N299" i="3" s="1"/>
  <c r="O299" i="3" s="1"/>
  <c r="L299" i="3"/>
  <c r="H301" i="3"/>
  <c r="G301" i="3"/>
  <c r="G302" i="3" l="1"/>
  <c r="H302" i="3"/>
  <c r="M300" i="3"/>
  <c r="N300" i="3" s="1"/>
  <c r="O300" i="3" s="1"/>
  <c r="L300" i="3"/>
  <c r="C301" i="3"/>
  <c r="D301" i="3"/>
  <c r="K300" i="3"/>
  <c r="E300" i="3"/>
  <c r="H303" i="3" l="1"/>
  <c r="G303" i="3"/>
  <c r="D302" i="3"/>
  <c r="K301" i="3"/>
  <c r="C302" i="3"/>
  <c r="E301" i="3"/>
  <c r="L301" i="3"/>
  <c r="M301" i="3"/>
  <c r="N301" i="3" s="1"/>
  <c r="O301" i="3" s="1"/>
  <c r="C303" i="3" l="1"/>
  <c r="K302" i="3"/>
  <c r="E302" i="3"/>
  <c r="D303" i="3"/>
  <c r="L302" i="3"/>
  <c r="M302" i="3"/>
  <c r="N302" i="3" s="1"/>
  <c r="O302" i="3" s="1"/>
  <c r="H304" i="3"/>
  <c r="G304" i="3"/>
  <c r="G305" i="3" l="1"/>
  <c r="H305" i="3"/>
  <c r="D304" i="3"/>
  <c r="C304" i="3"/>
  <c r="K303" i="3"/>
  <c r="E303" i="3"/>
  <c r="M303" i="3"/>
  <c r="N303" i="3" s="1"/>
  <c r="O303" i="3" s="1"/>
  <c r="L303" i="3"/>
  <c r="L304" i="3" l="1"/>
  <c r="M304" i="3"/>
  <c r="N304" i="3" s="1"/>
  <c r="O304" i="3" s="1"/>
  <c r="E304" i="3"/>
  <c r="K304" i="3"/>
  <c r="C305" i="3"/>
  <c r="D305" i="3"/>
  <c r="H306" i="3"/>
  <c r="G306" i="3"/>
  <c r="G307" i="3" l="1"/>
  <c r="H307" i="3"/>
  <c r="C306" i="3"/>
  <c r="K305" i="3"/>
  <c r="D306" i="3"/>
  <c r="E305" i="3"/>
  <c r="L305" i="3"/>
  <c r="M305" i="3"/>
  <c r="N305" i="3" s="1"/>
  <c r="O305" i="3" s="1"/>
  <c r="L306" i="3" l="1"/>
  <c r="M306" i="3"/>
  <c r="N306" i="3" s="1"/>
  <c r="O306" i="3" s="1"/>
  <c r="H308" i="3"/>
  <c r="G308" i="3"/>
  <c r="D307" i="3"/>
  <c r="K306" i="3"/>
  <c r="C307" i="3"/>
  <c r="E306" i="3"/>
  <c r="L307" i="3" l="1"/>
  <c r="M307" i="3"/>
  <c r="N307" i="3" s="1"/>
  <c r="O307" i="3" s="1"/>
  <c r="H309" i="3"/>
  <c r="G309" i="3"/>
  <c r="E307" i="3"/>
  <c r="C308" i="3"/>
  <c r="D308" i="3"/>
  <c r="K307" i="3"/>
  <c r="M308" i="3" l="1"/>
  <c r="N308" i="3" s="1"/>
  <c r="O308" i="3" s="1"/>
  <c r="L308" i="3"/>
  <c r="D309" i="3"/>
  <c r="C309" i="3"/>
  <c r="E308" i="3"/>
  <c r="K308" i="3"/>
  <c r="G310" i="3"/>
  <c r="H310" i="3"/>
  <c r="H311" i="3" l="1"/>
  <c r="G311" i="3"/>
  <c r="L309" i="3"/>
  <c r="M309" i="3"/>
  <c r="N309" i="3" s="1"/>
  <c r="O309" i="3" s="1"/>
  <c r="D310" i="3"/>
  <c r="K309" i="3"/>
  <c r="E309" i="3"/>
  <c r="C310" i="3"/>
  <c r="L310" i="3" l="1"/>
  <c r="M310" i="3"/>
  <c r="N310" i="3" s="1"/>
  <c r="O310" i="3" s="1"/>
  <c r="D311" i="3"/>
  <c r="E310" i="3"/>
  <c r="C311" i="3"/>
  <c r="K310" i="3"/>
  <c r="H312" i="3"/>
  <c r="G312" i="3"/>
  <c r="H313" i="3" l="1"/>
  <c r="G313" i="3"/>
  <c r="K311" i="3"/>
  <c r="E311" i="3"/>
  <c r="C312" i="3"/>
  <c r="D312" i="3"/>
  <c r="M311" i="3"/>
  <c r="N311" i="3" s="1"/>
  <c r="O311" i="3" s="1"/>
  <c r="L311" i="3"/>
  <c r="K312" i="3" l="1"/>
  <c r="C313" i="3"/>
  <c r="D313" i="3"/>
  <c r="E312" i="3"/>
  <c r="L312" i="3"/>
  <c r="M312" i="3"/>
  <c r="N312" i="3" s="1"/>
  <c r="O312" i="3" s="1"/>
  <c r="G314" i="3"/>
  <c r="H314" i="3"/>
  <c r="G315" i="3" l="1"/>
  <c r="H315" i="3"/>
  <c r="D314" i="3"/>
  <c r="E313" i="3"/>
  <c r="K313" i="3"/>
  <c r="C314" i="3"/>
  <c r="L313" i="3"/>
  <c r="M313" i="3"/>
  <c r="N313" i="3" s="1"/>
  <c r="O313" i="3" s="1"/>
  <c r="K314" i="3" l="1"/>
  <c r="D315" i="3"/>
  <c r="E314" i="3"/>
  <c r="C315" i="3"/>
  <c r="M314" i="3"/>
  <c r="N314" i="3" s="1"/>
  <c r="O314" i="3" s="1"/>
  <c r="L314" i="3"/>
  <c r="H316" i="3"/>
  <c r="G316" i="3"/>
  <c r="L315" i="3" l="1"/>
  <c r="M315" i="3"/>
  <c r="N315" i="3" s="1"/>
  <c r="O315" i="3" s="1"/>
  <c r="H317" i="3"/>
  <c r="G317" i="3"/>
  <c r="K315" i="3"/>
  <c r="E315" i="3"/>
  <c r="D316" i="3"/>
  <c r="C316" i="3"/>
  <c r="M316" i="3" l="1"/>
  <c r="N316" i="3" s="1"/>
  <c r="O316" i="3" s="1"/>
  <c r="L316" i="3"/>
  <c r="K316" i="3"/>
  <c r="E316" i="3"/>
  <c r="C317" i="3"/>
  <c r="D317" i="3"/>
  <c r="G318" i="3"/>
  <c r="H318" i="3"/>
  <c r="C318" i="3" l="1"/>
  <c r="E317" i="3"/>
  <c r="K317" i="3"/>
  <c r="D318" i="3"/>
  <c r="H319" i="3"/>
  <c r="G319" i="3"/>
  <c r="L317" i="3"/>
  <c r="M317" i="3"/>
  <c r="N317" i="3" s="1"/>
  <c r="O317" i="3" s="1"/>
  <c r="D319" i="3" l="1"/>
  <c r="C319" i="3"/>
  <c r="E318" i="3"/>
  <c r="K318" i="3"/>
  <c r="H320" i="3"/>
  <c r="G320" i="3"/>
  <c r="L318" i="3"/>
  <c r="M318" i="3"/>
  <c r="N318" i="3" s="1"/>
  <c r="O318" i="3" s="1"/>
  <c r="L319" i="3" l="1"/>
  <c r="M319" i="3"/>
  <c r="N319" i="3" s="1"/>
  <c r="O319" i="3" s="1"/>
  <c r="H321" i="3"/>
  <c r="G321" i="3"/>
  <c r="C320" i="3"/>
  <c r="E319" i="3"/>
  <c r="D320" i="3"/>
  <c r="K319" i="3"/>
  <c r="D321" i="3" l="1"/>
  <c r="K320" i="3"/>
  <c r="C321" i="3"/>
  <c r="E320" i="3"/>
  <c r="G322" i="3"/>
  <c r="H322" i="3"/>
  <c r="L320" i="3"/>
  <c r="M320" i="3"/>
  <c r="N320" i="3" s="1"/>
  <c r="O320" i="3" s="1"/>
  <c r="L321" i="3" l="1"/>
  <c r="M321" i="3"/>
  <c r="N321" i="3" s="1"/>
  <c r="O321" i="3" s="1"/>
  <c r="G323" i="3"/>
  <c r="H323" i="3"/>
  <c r="K321" i="3"/>
  <c r="E321" i="3"/>
  <c r="D322" i="3"/>
  <c r="C322" i="3"/>
  <c r="L322" i="3" l="1"/>
  <c r="M322" i="3"/>
  <c r="N322" i="3" s="1"/>
  <c r="O322" i="3" s="1"/>
  <c r="G324" i="3"/>
  <c r="H324" i="3"/>
  <c r="D323" i="3"/>
  <c r="K322" i="3"/>
  <c r="E322" i="3"/>
  <c r="C323" i="3"/>
  <c r="L323" i="3" l="1"/>
  <c r="M323" i="3"/>
  <c r="N323" i="3" s="1"/>
  <c r="O323" i="3" s="1"/>
  <c r="G325" i="3"/>
  <c r="H325" i="3"/>
  <c r="D324" i="3"/>
  <c r="C324" i="3"/>
  <c r="E323" i="3"/>
  <c r="K323" i="3"/>
  <c r="G326" i="3" l="1"/>
  <c r="H326" i="3"/>
  <c r="L324" i="3"/>
  <c r="M324" i="3"/>
  <c r="N324" i="3" s="1"/>
  <c r="O324" i="3" s="1"/>
  <c r="D325" i="3"/>
  <c r="K324" i="3"/>
  <c r="E324" i="3"/>
  <c r="C325" i="3"/>
  <c r="L325" i="3" l="1"/>
  <c r="M325" i="3"/>
  <c r="N325" i="3" s="1"/>
  <c r="O325" i="3" s="1"/>
  <c r="G327" i="3"/>
  <c r="H327" i="3"/>
  <c r="K325" i="3"/>
  <c r="E325" i="3"/>
  <c r="C326" i="3"/>
  <c r="D326" i="3"/>
  <c r="G328" i="3" l="1"/>
  <c r="H328" i="3"/>
  <c r="E326" i="3"/>
  <c r="C327" i="3"/>
  <c r="D327" i="3"/>
  <c r="K326" i="3"/>
  <c r="L326" i="3"/>
  <c r="M326" i="3"/>
  <c r="N326" i="3" s="1"/>
  <c r="O326" i="3" s="1"/>
  <c r="L327" i="3" l="1"/>
  <c r="M327" i="3"/>
  <c r="N327" i="3" s="1"/>
  <c r="O327" i="3" s="1"/>
  <c r="H329" i="3"/>
  <c r="G329" i="3"/>
  <c r="C328" i="3"/>
  <c r="E327" i="3"/>
  <c r="D328" i="3"/>
  <c r="K327" i="3"/>
  <c r="C329" i="3" l="1"/>
  <c r="K328" i="3"/>
  <c r="E328" i="3"/>
  <c r="D329" i="3"/>
  <c r="G330" i="3"/>
  <c r="H330" i="3"/>
  <c r="L328" i="3"/>
  <c r="M328" i="3"/>
  <c r="N328" i="3" s="1"/>
  <c r="O328" i="3" s="1"/>
  <c r="E329" i="3" l="1"/>
  <c r="K329" i="3"/>
  <c r="C330" i="3"/>
  <c r="D330" i="3"/>
  <c r="G331" i="3"/>
  <c r="H331" i="3"/>
  <c r="M329" i="3"/>
  <c r="N329" i="3" s="1"/>
  <c r="O329" i="3" s="1"/>
  <c r="L329" i="3"/>
  <c r="E330" i="3" l="1"/>
  <c r="C331" i="3"/>
  <c r="K330" i="3"/>
  <c r="D331" i="3"/>
  <c r="L330" i="3"/>
  <c r="M330" i="3"/>
  <c r="G332" i="3"/>
  <c r="H332" i="3"/>
  <c r="N330" i="3" l="1"/>
  <c r="O330" i="3" s="1"/>
  <c r="H333" i="3"/>
  <c r="G333" i="3"/>
  <c r="K331" i="3"/>
  <c r="C332" i="3"/>
  <c r="E331" i="3"/>
  <c r="D332" i="3"/>
  <c r="L331" i="3"/>
  <c r="M331" i="3"/>
  <c r="N331" i="3" s="1"/>
  <c r="O331" i="3" s="1"/>
  <c r="L332" i="3" l="1"/>
  <c r="M332" i="3"/>
  <c r="N332" i="3" s="1"/>
  <c r="O332" i="3" s="1"/>
  <c r="C333" i="3"/>
  <c r="D333" i="3"/>
  <c r="K332" i="3"/>
  <c r="E332" i="3"/>
  <c r="H334" i="3"/>
  <c r="G334" i="3"/>
  <c r="E333" i="3" l="1"/>
  <c r="K333" i="3"/>
  <c r="D334" i="3"/>
  <c r="C334" i="3"/>
  <c r="G335" i="3"/>
  <c r="H335" i="3"/>
  <c r="L333" i="3"/>
  <c r="M333" i="3"/>
  <c r="N333" i="3" s="1"/>
  <c r="O333" i="3" s="1"/>
  <c r="M334" i="3" l="1"/>
  <c r="N334" i="3" s="1"/>
  <c r="O334" i="3" s="1"/>
  <c r="L334" i="3"/>
  <c r="C335" i="3"/>
  <c r="K334" i="3"/>
  <c r="D335" i="3"/>
  <c r="E334" i="3"/>
  <c r="G336" i="3"/>
  <c r="H336" i="3"/>
  <c r="H337" i="3" l="1"/>
  <c r="G337" i="3"/>
  <c r="E335" i="3"/>
  <c r="C336" i="3"/>
  <c r="K335" i="3"/>
  <c r="D336" i="3"/>
  <c r="L335" i="3"/>
  <c r="M335" i="3"/>
  <c r="N335" i="3" s="1"/>
  <c r="O335" i="3" s="1"/>
  <c r="M336" i="3" l="1"/>
  <c r="L336" i="3"/>
  <c r="D337" i="3"/>
  <c r="C337" i="3"/>
  <c r="E336" i="3"/>
  <c r="K336" i="3"/>
  <c r="G338" i="3"/>
  <c r="H338" i="3"/>
  <c r="G339" i="3" l="1"/>
  <c r="H339" i="3"/>
  <c r="L337" i="3"/>
  <c r="M337" i="3"/>
  <c r="N337" i="3" s="1"/>
  <c r="O337" i="3" s="1"/>
  <c r="K337" i="3"/>
  <c r="D338" i="3"/>
  <c r="E337" i="3"/>
  <c r="C338" i="3"/>
  <c r="N336" i="3"/>
  <c r="O336" i="3" s="1"/>
  <c r="M338" i="3" l="1"/>
  <c r="N338" i="3" s="1"/>
  <c r="O338" i="3" s="1"/>
  <c r="L338" i="3"/>
  <c r="K338" i="3"/>
  <c r="D339" i="3"/>
  <c r="E338" i="3"/>
  <c r="C339" i="3"/>
  <c r="H340" i="3"/>
  <c r="G340" i="3"/>
  <c r="K339" i="3" l="1"/>
  <c r="C340" i="3"/>
  <c r="E339" i="3"/>
  <c r="D340" i="3"/>
  <c r="H341" i="3"/>
  <c r="G341" i="3"/>
  <c r="L339" i="3"/>
  <c r="M339" i="3"/>
  <c r="N339" i="3" s="1"/>
  <c r="O339" i="3" s="1"/>
  <c r="K340" i="3" l="1"/>
  <c r="C341" i="3"/>
  <c r="E340" i="3"/>
  <c r="D341" i="3"/>
  <c r="M340" i="3"/>
  <c r="N340" i="3" s="1"/>
  <c r="O340" i="3" s="1"/>
  <c r="L340" i="3"/>
  <c r="H342" i="3"/>
  <c r="G342" i="3"/>
  <c r="C342" i="3" l="1"/>
  <c r="K341" i="3"/>
  <c r="E341" i="3"/>
  <c r="D342" i="3"/>
  <c r="L341" i="3"/>
  <c r="M341" i="3"/>
  <c r="N341" i="3" s="1"/>
  <c r="O341" i="3" s="1"/>
  <c r="H343" i="3"/>
  <c r="G343" i="3"/>
  <c r="D343" i="3" l="1"/>
  <c r="E342" i="3"/>
  <c r="C343" i="3"/>
  <c r="K342" i="3"/>
  <c r="G344" i="3"/>
  <c r="H344" i="3"/>
  <c r="M342" i="3"/>
  <c r="N342" i="3" s="1"/>
  <c r="O342" i="3" s="1"/>
  <c r="L342" i="3"/>
  <c r="L343" i="3" l="1"/>
  <c r="M343" i="3"/>
  <c r="N343" i="3" s="1"/>
  <c r="O343" i="3" s="1"/>
  <c r="H345" i="3"/>
  <c r="G345" i="3"/>
  <c r="C344" i="3"/>
  <c r="K343" i="3"/>
  <c r="D344" i="3"/>
  <c r="E343" i="3"/>
  <c r="C345" i="3" l="1"/>
  <c r="K344" i="3"/>
  <c r="E344" i="3"/>
  <c r="D345" i="3"/>
  <c r="H346" i="3"/>
  <c r="G346" i="3"/>
  <c r="L344" i="3"/>
  <c r="M344" i="3"/>
  <c r="N344" i="3" s="1"/>
  <c r="O344" i="3" s="1"/>
  <c r="C346" i="3" l="1"/>
  <c r="D346" i="3"/>
  <c r="E345" i="3"/>
  <c r="K345" i="3"/>
  <c r="G347" i="3"/>
  <c r="H347" i="3"/>
  <c r="L345" i="3"/>
  <c r="M345" i="3"/>
  <c r="N345" i="3" s="1"/>
  <c r="O345" i="3" s="1"/>
  <c r="H348" i="3" l="1"/>
  <c r="G348" i="3"/>
  <c r="D347" i="3"/>
  <c r="C347" i="3"/>
  <c r="K346" i="3"/>
  <c r="E346" i="3"/>
  <c r="L346" i="3"/>
  <c r="M346" i="3"/>
  <c r="N346" i="3" s="1"/>
  <c r="O346" i="3" s="1"/>
  <c r="L347" i="3" l="1"/>
  <c r="M347" i="3"/>
  <c r="D348" i="3"/>
  <c r="K347" i="3"/>
  <c r="E347" i="3"/>
  <c r="C348" i="3"/>
  <c r="G349" i="3"/>
  <c r="H349" i="3"/>
  <c r="N347" i="3" l="1"/>
  <c r="O347" i="3" s="1"/>
  <c r="M348" i="3"/>
  <c r="N348" i="3" s="1"/>
  <c r="O348" i="3" s="1"/>
  <c r="L348" i="3"/>
  <c r="G350" i="3"/>
  <c r="H350" i="3"/>
  <c r="E348" i="3"/>
  <c r="K348" i="3"/>
  <c r="C349" i="3"/>
  <c r="D349" i="3"/>
  <c r="C350" i="3" l="1"/>
  <c r="E349" i="3"/>
  <c r="D350" i="3"/>
  <c r="K349" i="3"/>
  <c r="G351" i="3"/>
  <c r="H351" i="3"/>
  <c r="L349" i="3"/>
  <c r="M349" i="3"/>
  <c r="N349" i="3" s="1"/>
  <c r="O349" i="3" s="1"/>
  <c r="E350" i="3" l="1"/>
  <c r="D351" i="3"/>
  <c r="C351" i="3"/>
  <c r="K350" i="3"/>
  <c r="G352" i="3"/>
  <c r="H352" i="3"/>
  <c r="M350" i="3"/>
  <c r="N350" i="3" s="1"/>
  <c r="O350" i="3" s="1"/>
  <c r="L350" i="3"/>
  <c r="L351" i="3" l="1"/>
  <c r="M351" i="3"/>
  <c r="N351" i="3" s="1"/>
  <c r="O351" i="3" s="1"/>
  <c r="G353" i="3"/>
  <c r="H353" i="3"/>
  <c r="D352" i="3"/>
  <c r="E351" i="3"/>
  <c r="C352" i="3"/>
  <c r="K351" i="3"/>
  <c r="G354" i="3" l="1"/>
  <c r="H354" i="3"/>
  <c r="L352" i="3"/>
  <c r="M352" i="3"/>
  <c r="N352" i="3" s="1"/>
  <c r="O352" i="3" s="1"/>
  <c r="E352" i="3"/>
  <c r="D353" i="3"/>
  <c r="K352" i="3"/>
  <c r="C353" i="3"/>
  <c r="L353" i="3" l="1"/>
  <c r="M353" i="3"/>
  <c r="N353" i="3" s="1"/>
  <c r="O353" i="3" s="1"/>
  <c r="C354" i="3"/>
  <c r="D354" i="3"/>
  <c r="K353" i="3"/>
  <c r="E353" i="3"/>
  <c r="G355" i="3"/>
  <c r="H355" i="3"/>
  <c r="G356" i="3" l="1"/>
  <c r="H356" i="3"/>
  <c r="C355" i="3"/>
  <c r="D355" i="3"/>
  <c r="E354" i="3"/>
  <c r="K354" i="3"/>
  <c r="L354" i="3"/>
  <c r="M354" i="3"/>
  <c r="N354" i="3" s="1"/>
  <c r="O354" i="3" s="1"/>
  <c r="D356" i="3" l="1"/>
  <c r="C356" i="3"/>
  <c r="K355" i="3"/>
  <c r="E355" i="3"/>
  <c r="L355" i="3"/>
  <c r="M355" i="3"/>
  <c r="N355" i="3" s="1"/>
  <c r="O355" i="3" s="1"/>
  <c r="G357" i="3"/>
  <c r="H357" i="3"/>
  <c r="H358" i="3" l="1"/>
  <c r="G358" i="3"/>
  <c r="L356" i="3"/>
  <c r="M356" i="3"/>
  <c r="N356" i="3" s="1"/>
  <c r="O356" i="3" s="1"/>
  <c r="D357" i="3"/>
  <c r="E356" i="3"/>
  <c r="C357" i="3"/>
  <c r="K356" i="3"/>
  <c r="M357" i="3" l="1"/>
  <c r="N357" i="3" s="1"/>
  <c r="O357" i="3" s="1"/>
  <c r="L357" i="3"/>
  <c r="E357" i="3"/>
  <c r="K357" i="3"/>
  <c r="D358" i="3"/>
  <c r="C358" i="3"/>
  <c r="G359" i="3"/>
  <c r="H359" i="3"/>
  <c r="C359" i="3" l="1"/>
  <c r="E358" i="3"/>
  <c r="K358" i="3"/>
  <c r="D359" i="3"/>
  <c r="G360" i="3"/>
  <c r="H360" i="3"/>
  <c r="L358" i="3"/>
  <c r="M358" i="3"/>
  <c r="N358" i="3" s="1"/>
  <c r="O358" i="3" s="1"/>
  <c r="C360" i="3" l="1"/>
  <c r="D360" i="3"/>
  <c r="E359" i="3"/>
  <c r="K359" i="3"/>
  <c r="H361" i="3"/>
  <c r="G361" i="3"/>
  <c r="M359" i="3"/>
  <c r="N359" i="3" s="1"/>
  <c r="O359" i="3" s="1"/>
  <c r="L359" i="3"/>
  <c r="D361" i="3" l="1"/>
  <c r="E360" i="3"/>
  <c r="C361" i="3"/>
  <c r="K360" i="3"/>
  <c r="H362" i="3"/>
  <c r="G362" i="3"/>
  <c r="L360" i="3"/>
  <c r="M360" i="3"/>
  <c r="N360" i="3" s="1"/>
  <c r="O360" i="3" s="1"/>
  <c r="M361" i="3" l="1"/>
  <c r="N361" i="3" s="1"/>
  <c r="O361" i="3" s="1"/>
  <c r="L361" i="3"/>
  <c r="H363" i="3"/>
  <c r="G363" i="3"/>
  <c r="K361" i="3"/>
  <c r="D362" i="3"/>
  <c r="E361" i="3"/>
  <c r="C362" i="3"/>
  <c r="L362" i="3" l="1"/>
  <c r="M362" i="3"/>
  <c r="N362" i="3" s="1"/>
  <c r="O362" i="3" s="1"/>
  <c r="H364" i="3"/>
  <c r="G364" i="3"/>
  <c r="C363" i="3"/>
  <c r="K362" i="3"/>
  <c r="E362" i="3"/>
  <c r="D363" i="3"/>
  <c r="K363" i="3" l="1"/>
  <c r="E363" i="3"/>
  <c r="C364" i="3"/>
  <c r="D364" i="3"/>
  <c r="G365" i="3"/>
  <c r="H365" i="3"/>
  <c r="L363" i="3"/>
  <c r="M363" i="3"/>
  <c r="N363" i="3" s="1"/>
  <c r="O363" i="3" s="1"/>
  <c r="K364" i="3" l="1"/>
  <c r="E364" i="3"/>
  <c r="C365" i="3"/>
  <c r="D365" i="3"/>
  <c r="H366" i="3"/>
  <c r="G366" i="3"/>
  <c r="L364" i="3"/>
  <c r="M364" i="3"/>
  <c r="N364" i="3" s="1"/>
  <c r="O364" i="3" s="1"/>
  <c r="K365" i="3" l="1"/>
  <c r="D366" i="3"/>
  <c r="E365" i="3"/>
  <c r="C366" i="3"/>
  <c r="L365" i="3"/>
  <c r="M365" i="3"/>
  <c r="N365" i="3" s="1"/>
  <c r="O365" i="3" s="1"/>
  <c r="H367" i="3"/>
  <c r="G367" i="3"/>
  <c r="G368" i="3" l="1"/>
  <c r="H368" i="3"/>
  <c r="M366" i="3"/>
  <c r="N366" i="3" s="1"/>
  <c r="O366" i="3" s="1"/>
  <c r="L366" i="3"/>
  <c r="K366" i="3"/>
  <c r="E366" i="3"/>
  <c r="C367" i="3"/>
  <c r="D367" i="3"/>
  <c r="C368" i="3" l="1"/>
  <c r="D368" i="3"/>
  <c r="K367" i="3"/>
  <c r="E367" i="3"/>
  <c r="H369" i="3"/>
  <c r="G369" i="3"/>
  <c r="L367" i="3"/>
  <c r="M367" i="3"/>
  <c r="N367" i="3" s="1"/>
  <c r="O367" i="3" s="1"/>
  <c r="D369" i="3" l="1"/>
  <c r="K368" i="3"/>
  <c r="C369" i="3"/>
  <c r="E368" i="3"/>
  <c r="G370" i="3"/>
  <c r="H370" i="3"/>
  <c r="L368" i="3"/>
  <c r="M368" i="3"/>
  <c r="N368" i="3" s="1"/>
  <c r="O368" i="3" s="1"/>
  <c r="L369" i="3" l="1"/>
  <c r="M369" i="3"/>
  <c r="N369" i="3" s="1"/>
  <c r="O369" i="3" s="1"/>
  <c r="H371" i="3"/>
  <c r="G371" i="3"/>
  <c r="C370" i="3"/>
  <c r="D370" i="3"/>
  <c r="K369" i="3"/>
  <c r="E369" i="3"/>
  <c r="H372" i="3" l="1"/>
  <c r="G372" i="3"/>
  <c r="K370" i="3"/>
  <c r="E370" i="3"/>
  <c r="D371" i="3"/>
  <c r="C371" i="3"/>
  <c r="L370" i="3"/>
  <c r="M370" i="3"/>
  <c r="N370" i="3" s="1"/>
  <c r="O370" i="3" s="1"/>
  <c r="L371" i="3" l="1"/>
  <c r="M371" i="3"/>
  <c r="N371" i="3" s="1"/>
  <c r="O371" i="3" s="1"/>
  <c r="D372" i="3"/>
  <c r="E371" i="3"/>
  <c r="K371" i="3"/>
  <c r="C372" i="3"/>
  <c r="H373" i="3"/>
  <c r="G373" i="3"/>
  <c r="L372" i="3" l="1"/>
  <c r="M372" i="3"/>
  <c r="N372" i="3" s="1"/>
  <c r="O372" i="3" s="1"/>
  <c r="G374" i="3"/>
  <c r="H374" i="3"/>
  <c r="K372" i="3"/>
  <c r="C373" i="3"/>
  <c r="E372" i="3"/>
  <c r="D373" i="3"/>
  <c r="L373" i="3" l="1"/>
  <c r="M373" i="3"/>
  <c r="N373" i="3" s="1"/>
  <c r="O373" i="3" s="1"/>
  <c r="K373" i="3"/>
  <c r="E373" i="3"/>
  <c r="C374" i="3"/>
  <c r="D374" i="3"/>
  <c r="G375" i="3"/>
  <c r="H375" i="3"/>
  <c r="G376" i="3" l="1"/>
  <c r="H376" i="3"/>
  <c r="C375" i="3"/>
  <c r="K374" i="3"/>
  <c r="D375" i="3"/>
  <c r="E374" i="3"/>
  <c r="L374" i="3"/>
  <c r="M374" i="3"/>
  <c r="N374" i="3" s="1"/>
  <c r="O374" i="3" s="1"/>
  <c r="L375" i="3" l="1"/>
  <c r="M375" i="3"/>
  <c r="N375" i="3" s="1"/>
  <c r="O375" i="3" s="1"/>
  <c r="H377" i="3"/>
  <c r="G377" i="3"/>
  <c r="D376" i="3"/>
  <c r="C376" i="3"/>
  <c r="K375" i="3"/>
  <c r="E375" i="3"/>
  <c r="H378" i="3" l="1"/>
  <c r="G378" i="3"/>
  <c r="M376" i="3"/>
  <c r="N376" i="3" s="1"/>
  <c r="O376" i="3" s="1"/>
  <c r="L376" i="3"/>
  <c r="C377" i="3"/>
  <c r="E376" i="3"/>
  <c r="K376" i="3"/>
  <c r="D377" i="3"/>
  <c r="D378" i="3" l="1"/>
  <c r="C378" i="3"/>
  <c r="E377" i="3"/>
  <c r="K377" i="3"/>
  <c r="L377" i="3"/>
  <c r="M377" i="3"/>
  <c r="N377" i="3" s="1"/>
  <c r="O377" i="3" s="1"/>
  <c r="G379" i="3"/>
  <c r="H379" i="3"/>
  <c r="H380" i="3" l="1"/>
  <c r="G380" i="3"/>
  <c r="M378" i="3"/>
  <c r="N378" i="3" s="1"/>
  <c r="O378" i="3" s="1"/>
  <c r="L378" i="3"/>
  <c r="K378" i="3"/>
  <c r="C379" i="3"/>
  <c r="E378" i="3"/>
  <c r="D379" i="3"/>
  <c r="K379" i="3" l="1"/>
  <c r="E379" i="3"/>
  <c r="D380" i="3"/>
  <c r="C380" i="3"/>
  <c r="M379" i="3"/>
  <c r="N379" i="3" s="1"/>
  <c r="O379" i="3" s="1"/>
  <c r="L379" i="3"/>
  <c r="H381" i="3"/>
  <c r="G381" i="3"/>
  <c r="M380" i="3" l="1"/>
  <c r="L380" i="3"/>
  <c r="H382" i="3"/>
  <c r="G382" i="3"/>
  <c r="K380" i="3"/>
  <c r="D381" i="3"/>
  <c r="E380" i="3"/>
  <c r="C381" i="3"/>
  <c r="N380" i="3" l="1"/>
  <c r="O380" i="3" s="1"/>
  <c r="L381" i="3"/>
  <c r="M381" i="3"/>
  <c r="N381" i="3" s="1"/>
  <c r="O381" i="3" s="1"/>
  <c r="G383" i="3"/>
  <c r="H383" i="3"/>
  <c r="E381" i="3"/>
  <c r="C382" i="3"/>
  <c r="D382" i="3"/>
  <c r="K381" i="3"/>
  <c r="H384" i="3" l="1"/>
  <c r="G384" i="3"/>
  <c r="M382" i="3"/>
  <c r="N382" i="3" s="1"/>
  <c r="O382" i="3" s="1"/>
  <c r="L382" i="3"/>
  <c r="D383" i="3"/>
  <c r="C383" i="3"/>
  <c r="K382" i="3"/>
  <c r="E382" i="3"/>
  <c r="L383" i="3" l="1"/>
  <c r="M383" i="3"/>
  <c r="N383" i="3" s="1"/>
  <c r="O383" i="3" s="1"/>
  <c r="C384" i="3"/>
  <c r="E383" i="3"/>
  <c r="K383" i="3"/>
  <c r="D384" i="3"/>
  <c r="H385" i="3"/>
  <c r="G385" i="3"/>
  <c r="M384" i="3" l="1"/>
  <c r="N384" i="3" s="1"/>
  <c r="O384" i="3" s="1"/>
  <c r="L384" i="3"/>
  <c r="C385" i="3"/>
  <c r="K384" i="3"/>
  <c r="D385" i="3"/>
  <c r="E384" i="3"/>
  <c r="K385" i="3" l="1"/>
  <c r="E385" i="3"/>
  <c r="M385" i="3"/>
  <c r="N385" i="3" s="1"/>
  <c r="O385" i="3" s="1"/>
  <c r="G6" i="3" s="1"/>
  <c r="L385" i="3"/>
  <c r="G8" i="3" l="1"/>
  <c r="F15" i="6"/>
  <c r="F17" i="6" s="1"/>
  <c r="F32" i="6" l="1"/>
  <c r="F34" i="6" s="1"/>
  <c r="F22" i="6"/>
  <c r="H7" i="1"/>
  <c r="H9" i="1" s="1"/>
  <c r="G10" i="3"/>
</calcChain>
</file>

<file path=xl/comments1.xml><?xml version="1.0" encoding="utf-8"?>
<comments xmlns="http://schemas.openxmlformats.org/spreadsheetml/2006/main">
  <authors>
    <author>Fidel</author>
    <author>fmoreno</author>
  </authors>
  <commentList>
    <comment ref="C5" authorId="0" shapeId="0">
      <text>
        <r>
          <rPr>
            <sz val="9"/>
            <color indexed="81"/>
            <rFont val="Tahoma"/>
            <family val="2"/>
          </rPr>
          <t xml:space="preserve">Fecha en la que el trabajador inicio su relacion laboral
</t>
        </r>
      </text>
    </comment>
    <comment ref="C6" authorId="0" shapeId="0">
      <text>
        <r>
          <rPr>
            <sz val="9"/>
            <color indexed="81"/>
            <rFont val="Tahoma"/>
            <family val="2"/>
          </rPr>
          <t>Para el calculo de la liquidacion debe colocar la feha de renuncia o despido. 
Para calculo de pasivos cuando aun esta trabajando en la compañía coloque la fecha de hoy.</t>
        </r>
      </text>
    </comment>
    <comment ref="C8" authorId="0" shapeId="0">
      <text>
        <r>
          <rPr>
            <b/>
            <sz val="9"/>
            <color indexed="81"/>
            <rFont val="Tahoma"/>
            <family val="2"/>
          </rPr>
          <t>AVISO:</t>
        </r>
        <r>
          <rPr>
            <sz val="9"/>
            <color indexed="81"/>
            <rFont val="Tahoma"/>
            <family val="2"/>
          </rPr>
          <t xml:space="preserve">
A partir de la version 4.5 este valor no se modifica directamente desde aquí, para cambiarlo pulse en VER, en la celda de arriba, alli puede configurar el tipo de sueldo.</t>
        </r>
      </text>
    </comment>
    <comment ref="C10" authorId="1" shapeId="0">
      <text>
        <r>
          <rPr>
            <b/>
            <sz val="8"/>
            <color indexed="81"/>
            <rFont val="Tahoma"/>
            <family val="2"/>
          </rPr>
          <t>Meses Cumplidos</t>
        </r>
      </text>
    </comment>
    <comment ref="C11" authorId="1" shapeId="0">
      <text>
        <r>
          <rPr>
            <b/>
            <sz val="8"/>
            <color indexed="81"/>
            <rFont val="Tahoma"/>
            <family val="2"/>
          </rPr>
          <t>Años Cumplidos</t>
        </r>
      </text>
    </comment>
  </commentList>
</comments>
</file>

<file path=xl/comments2.xml><?xml version="1.0" encoding="utf-8"?>
<comments xmlns="http://schemas.openxmlformats.org/spreadsheetml/2006/main">
  <authors>
    <author>Fidel</author>
  </authors>
  <commentList>
    <comment ref="D5" authorId="0" shapeId="0">
      <text>
        <r>
          <rPr>
            <b/>
            <sz val="9"/>
            <color indexed="81"/>
            <rFont val="Tahoma"/>
            <family val="2"/>
          </rPr>
          <t>Fidel:</t>
        </r>
        <r>
          <rPr>
            <sz val="9"/>
            <color indexed="81"/>
            <rFont val="Tahoma"/>
            <family val="2"/>
          </rPr>
          <t xml:space="preserve">
Debe colocar el salario Base SIN las letras Bs.
</t>
        </r>
      </text>
    </comment>
    <comment ref="D6" authorId="0" shapeId="0">
      <text>
        <r>
          <rPr>
            <b/>
            <sz val="11"/>
            <color indexed="81"/>
            <rFont val="Tahoma"/>
            <family val="2"/>
          </rPr>
          <t xml:space="preserve">Formas de calculo para el salario mensual:
</t>
        </r>
        <r>
          <rPr>
            <sz val="8"/>
            <color indexed="81"/>
            <rFont val="Tahoma"/>
            <family val="2"/>
          </rPr>
          <t>Cuando el salario es diario se multiplica por 30 dias
Cuando el salario es semanal, se divide el monto entre 7 y luego se multiplica por 30 dias
Cuando el salario es quincenal se multiplica el monto por dos
Cuando el salrio es mensual no hace falta conversion.</t>
        </r>
      </text>
    </comment>
  </commentList>
</comments>
</file>

<file path=xl/comments3.xml><?xml version="1.0" encoding="utf-8"?>
<comments xmlns="http://schemas.openxmlformats.org/spreadsheetml/2006/main">
  <authors>
    <author>fmoreno</author>
  </authors>
  <commentList>
    <comment ref="C9" authorId="0" shapeId="0">
      <text>
        <r>
          <rPr>
            <b/>
            <sz val="8"/>
            <color indexed="81"/>
            <rFont val="Tahoma"/>
            <family val="2"/>
          </rPr>
          <t>Usualmente 4%</t>
        </r>
        <r>
          <rPr>
            <sz val="8"/>
            <color indexed="81"/>
            <rFont val="Tahoma"/>
            <family val="2"/>
          </rPr>
          <t xml:space="preserve">
</t>
        </r>
      </text>
    </comment>
    <comment ref="C21" authorId="0" shapeId="0">
      <text>
        <r>
          <rPr>
            <sz val="8"/>
            <color indexed="81"/>
            <rFont val="Tahoma"/>
            <family val="2"/>
          </rPr>
          <t>hasta el momento: 0,5%</t>
        </r>
      </text>
    </comment>
    <comment ref="C29" authorId="0" shapeId="0">
      <text>
        <r>
          <rPr>
            <b/>
            <sz val="8"/>
            <color indexed="81"/>
            <rFont val="Tahoma"/>
            <family val="2"/>
          </rPr>
          <t>El trabajador debe aportar el 1%</t>
        </r>
      </text>
    </comment>
  </commentList>
</comments>
</file>

<file path=xl/comments4.xml><?xml version="1.0" encoding="utf-8"?>
<comments xmlns="http://schemas.openxmlformats.org/spreadsheetml/2006/main">
  <authors>
    <author>Fidel Moreno</author>
  </authors>
  <commentList>
    <comment ref="F6" authorId="0" shapeId="0">
      <text>
        <r>
          <rPr>
            <b/>
            <sz val="9"/>
            <color indexed="81"/>
            <rFont val="Tahoma"/>
            <family val="2"/>
          </rPr>
          <t xml:space="preserve">Artículo 131. </t>
        </r>
        <r>
          <rPr>
            <sz val="9"/>
            <color indexed="81"/>
            <rFont val="Tahoma"/>
            <family val="2"/>
          </rPr>
          <t xml:space="preserve">Las entidades de trabajo deberán distribuir entre todos sus trabajadores y trabajadoras, por lo menos, el quince por ciento de los beneficios líquidos que hubieren obtenido al fin de su ejercicio anual. A este fin, se entenderá por beneficios líquidos, la suma de los enriquecimientos netos gravables y de los exonerados conforme a la Ley de Impuesto Sobre la Renta.
Esta obligación tendrá, respecto de cada trabajador o trabajadora como límite mínimo, el equivalente al salario de treinta días y como límite máximo el equivalente al salario de cuatro meses. Cuando el trabajador o trabajadora no hubiese laborado todo el año, la bonificación se reducirá a la parte proporcional correspondiente a los meses completos de servicios prestados. Cuando la terminación de la relación de trabajo ocurra antes del cierre del ejercicio, la liquidación de la parte correspondiente a los meses servidos podrá hacerse al vencimiento del ejercicio.
</t>
        </r>
      </text>
    </comment>
  </commentList>
</comments>
</file>

<file path=xl/comments5.xml><?xml version="1.0" encoding="utf-8"?>
<comments xmlns="http://schemas.openxmlformats.org/spreadsheetml/2006/main">
  <authors>
    <author>Fidel Moreno</author>
  </authors>
  <commentList>
    <comment ref="E8" authorId="0" shapeId="0">
      <text>
        <r>
          <rPr>
            <b/>
            <sz val="9"/>
            <color indexed="81"/>
            <rFont val="Tahoma"/>
            <family val="2"/>
          </rPr>
          <t xml:space="preserve">Artículo 190. </t>
        </r>
        <r>
          <rPr>
            <sz val="9"/>
            <color indexed="81"/>
            <rFont val="Tahoma"/>
            <family val="2"/>
          </rPr>
          <t>Cuando el trabajador o la trabajadora cumpla un año de trabajo ininterrumpido para un patrono o una patrona, disfrutará de un período de vacaciones remuneradas de quince días hábiles. Los años sucesivos tendrá derecho además a un día adicional remunerado por cada año de servicio, hasta un máximo de quince días hábiles.
Las vacaciones que se interrumpan por hechos no imputables al trabajador o a la trabajadora, se reactivarán al cesar esas circunstancias.
Durante el periodo de vacaciones el trabajador o la trabajadora tendrá derecho a percibir el beneficio de alimentación, conforme a las previsiones establecidas en la ley que regula la materia.
Durante el periodo de vacaciones no podrá intentarse ni iniciarse algún procedimiento para despido, traslado o desmejora contra el trabajador o la trabajadora.
El servicio de un trabajador o una trabajadora no se considerará interrumpido por sus vacaciones anuales, a los fines del pago de cotizaciones, contribuciones a la Seguridad Social o cualquiera otra análoga pagadera en su interés mientras preste sus servicios.</t>
        </r>
      </text>
    </comment>
    <comment ref="E15" authorId="0" shapeId="0">
      <text>
        <r>
          <rPr>
            <b/>
            <sz val="9"/>
            <color indexed="81"/>
            <rFont val="Tahoma"/>
            <family val="2"/>
          </rPr>
          <t>Artículo 192.</t>
        </r>
        <r>
          <rPr>
            <sz val="9"/>
            <color indexed="81"/>
            <rFont val="Tahoma"/>
            <family val="2"/>
          </rPr>
          <t xml:space="preserve"> Los patronos y las patronas pagarán al trabajador o a la trabajadora en la oportunidad de sus vacaciones, además del salario correspondiente, una bonificación especial para su disfrute equivalente a un mínimo de quince días de salario normal más un día por cada año de servicios hasta un total de treinta días de salario normal. Este bono vacacional tiene carácter salarial.</t>
        </r>
        <r>
          <rPr>
            <sz val="9"/>
            <color indexed="81"/>
            <rFont val="Tahoma"/>
            <family val="2"/>
          </rPr>
          <t xml:space="preserve">
</t>
        </r>
      </text>
    </comment>
    <comment ref="C20" authorId="0" shapeId="0">
      <text>
        <r>
          <rPr>
            <b/>
            <sz val="9"/>
            <color indexed="81"/>
            <rFont val="Tahoma"/>
            <family val="2"/>
          </rPr>
          <t>Artículo 121.</t>
        </r>
        <r>
          <rPr>
            <sz val="9"/>
            <color indexed="81"/>
            <rFont val="Tahoma"/>
            <family val="2"/>
          </rPr>
          <t xml:space="preserve"> El salario base para el cálculo de lo que corresponda al trabajador o trabajadora por concepto de vacaciones, será el salario normal devengado en el mes efectivo de labores inmediatamente anterior a la oportunidad del disfrute.
En caso de salario por unidad de obra, por pieza, a destajo o a comisión, será el promedio del salario normal devengado durante los tres meses inmediatamente anteriores a la oportunidad del disfrute.</t>
        </r>
      </text>
    </comment>
    <comment ref="F46" authorId="0" shapeId="0">
      <text>
        <r>
          <rPr>
            <b/>
            <sz val="9"/>
            <color indexed="81"/>
            <rFont val="Tahoma"/>
            <family val="2"/>
          </rPr>
          <t xml:space="preserve">Meses Transcurridos
</t>
        </r>
        <r>
          <rPr>
            <sz val="9"/>
            <color indexed="81"/>
            <rFont val="Tahoma"/>
            <family val="2"/>
          </rPr>
          <t xml:space="preserve">
 Determina el tiempo en meses que el empleado ha ganado en el ultimo perirodo vacacional.
Si quiere calcular un año completo coloque 12.
Si quiere calcular por ejemplo un año y 6 meses coloque 18.</t>
        </r>
      </text>
    </comment>
  </commentList>
</comments>
</file>

<file path=xl/comments6.xml><?xml version="1.0" encoding="utf-8"?>
<comments xmlns="http://schemas.openxmlformats.org/spreadsheetml/2006/main">
  <authors>
    <author>Fidel Moreno</author>
  </authors>
  <commentList>
    <comment ref="C6" authorId="0" shapeId="0">
      <text>
        <r>
          <rPr>
            <b/>
            <sz val="9"/>
            <color indexed="81"/>
            <rFont val="Tahoma"/>
            <family val="2"/>
          </rPr>
          <t xml:space="preserve">Artículo 142. </t>
        </r>
        <r>
          <rPr>
            <sz val="9"/>
            <color indexed="81"/>
            <rFont val="Tahoma"/>
            <family val="2"/>
          </rPr>
          <t xml:space="preserve"> Las prestaciones sociales se protegerán, calcularán y pagarán de la siguiente manera:
a)       El patrono o patrona depositará a cada trabajador o trabajadora por concepto de garantía de las prestaciones sociales el equivalente a quince días cada trimestre, calculado con base al último salario devengado. El derecho a este depósito se adquiere desde el momento de iniciar el trimestre.
b)       Adicionalmente y después del primer año de servicio, el patrono o patrona depositara a cada trabajador o trabajadora dos días de salario, por cada año, acumulativos hasta treinta días de salario.
c)       Cuando la relación de trabajo termine por cualquier causa se calcularán las prestaciones sociales con base a treinta días por cada año de servicio o fracción superior a los seis meses calculada al último salario.
d)       El trabajador o trabajadora recibirá por concepto de prestaciones sociales el monto que resulte mayor entre el total de la garantía depositada de acuerdo a lo establecido en los literales a y b, y el cálculo efectuado al final de la relación laboral de acuerdo al literal c.
e)       Si la relación de trabajo termina antes de los tres primeros meses, el pago que le corresponde al trabajador o trabajadora por concepto de prestaciones sociales será de cinco días de salario por mes trabajado o fracción.
f)        El pago de las prestaciones sociales se hará dentro de los cinco días siguientes a la terminación de la relación laboral, y de no cumplirse el pago generará intereses de mora a la tasa activa determinada por el Banco Central de Venezuela, tomando como referencia los seis principales bancos del país
</t>
        </r>
      </text>
    </comment>
    <comment ref="F12" authorId="0" shapeId="0">
      <text>
        <r>
          <rPr>
            <b/>
            <sz val="9"/>
            <color indexed="81"/>
            <rFont val="Tahoma"/>
            <family val="2"/>
          </rPr>
          <t>Fidel Moreno:</t>
        </r>
        <r>
          <rPr>
            <sz val="9"/>
            <color indexed="81"/>
            <rFont val="Tahoma"/>
            <family val="2"/>
          </rPr>
          <t xml:space="preserve">
Debe colocar su salario Integral por mes y no su sueldo base</t>
        </r>
      </text>
    </comment>
    <comment ref="I12" authorId="0" shapeId="0">
      <text>
        <r>
          <rPr>
            <b/>
            <sz val="9"/>
            <color indexed="81"/>
            <rFont val="Tahoma"/>
            <family val="2"/>
          </rPr>
          <t>Fidel Moreno:</t>
        </r>
        <r>
          <rPr>
            <sz val="9"/>
            <color indexed="81"/>
            <rFont val="Tahoma"/>
            <family val="2"/>
          </rPr>
          <t xml:space="preserve">
Dias adicionales por años de servicio, son 2 por cada año.</t>
        </r>
      </text>
    </comment>
    <comment ref="J12" authorId="0" shapeId="0">
      <text>
        <r>
          <rPr>
            <b/>
            <sz val="9"/>
            <color indexed="81"/>
            <rFont val="Tahoma"/>
            <family val="2"/>
          </rPr>
          <t>Fidel Moreno:</t>
        </r>
        <r>
          <rPr>
            <sz val="9"/>
            <color indexed="81"/>
            <rFont val="Tahoma"/>
            <family val="2"/>
          </rPr>
          <t xml:space="preserve">
Dias de prestaciones según la LOT 1997
</t>
        </r>
      </text>
    </comment>
    <comment ref="R13" authorId="0" shapeId="0">
      <text>
        <r>
          <rPr>
            <b/>
            <sz val="9"/>
            <color indexed="81"/>
            <rFont val="Tahoma"/>
            <family val="2"/>
          </rPr>
          <t>Fidel Moreno:</t>
        </r>
        <r>
          <rPr>
            <sz val="9"/>
            <color indexed="81"/>
            <rFont val="Tahoma"/>
            <family val="2"/>
          </rPr>
          <t xml:space="preserve">
Recuerde actualizar cada mes de manera manual la tasa de interes del BCV</t>
        </r>
      </text>
    </comment>
  </commentList>
</comments>
</file>

<file path=xl/comments7.xml><?xml version="1.0" encoding="utf-8"?>
<comments xmlns="http://schemas.openxmlformats.org/spreadsheetml/2006/main">
  <authors>
    <author>Fidel Moreno</author>
  </authors>
  <commentList>
    <comment ref="C16" authorId="0" shapeId="0">
      <text>
        <r>
          <rPr>
            <b/>
            <sz val="9"/>
            <color indexed="81"/>
            <rFont val="Tahoma"/>
            <family val="2"/>
          </rPr>
          <t>Fidel Moreno:</t>
        </r>
        <r>
          <rPr>
            <sz val="9"/>
            <color indexed="81"/>
            <rFont val="Tahoma"/>
            <family val="2"/>
          </rPr>
          <t xml:space="preserve">
Cuando la relacion de trabajo termina en un mes que no corresponde a un trimestre se computara 5 dias por mes, desde el ultimo trimestre, por lo que puede ser o bien 5 dias o 10 dias.</t>
        </r>
      </text>
    </comment>
    <comment ref="C24" authorId="0" shapeId="0">
      <text>
        <r>
          <rPr>
            <b/>
            <sz val="9"/>
            <color indexed="81"/>
            <rFont val="Tahoma"/>
            <family val="2"/>
          </rPr>
          <t xml:space="preserve">Artículo 92. </t>
        </r>
        <r>
          <rPr>
            <sz val="9"/>
            <color indexed="81"/>
            <rFont val="Tahoma"/>
            <family val="2"/>
          </rPr>
          <t>En caso de terminación de la relación de trabajo por causas ajenas a la voluntad del trabajador o trabajadora, o en los casos de despido sin razones que lo justifiquen  cuando el trabajador o la trabajadora manifestaran su voluntad de no interponer el procedimiento para solicitar el reenganche, el patrono o patrona deberá pagarle una indemnización equivalente al monto que le corresponde por las prestaciones sociales.</t>
        </r>
      </text>
    </comment>
  </commentList>
</comments>
</file>

<file path=xl/comments8.xml><?xml version="1.0" encoding="utf-8"?>
<comments xmlns="http://schemas.openxmlformats.org/spreadsheetml/2006/main">
  <authors>
    <author>Fidel Moreno</author>
  </authors>
  <commentList>
    <comment ref="J6" authorId="0" shapeId="0">
      <text>
        <r>
          <rPr>
            <b/>
            <sz val="9"/>
            <color indexed="81"/>
            <rFont val="Tahoma"/>
            <family val="2"/>
          </rPr>
          <t xml:space="preserve">Artículo 118. </t>
        </r>
        <r>
          <rPr>
            <sz val="9"/>
            <color indexed="81"/>
            <rFont val="Tahoma"/>
            <family val="2"/>
          </rPr>
          <t xml:space="preserve">Las horas extraordinarias serán pagadas con un cincuenta por ciento de recargo, por lo menos, sobre el salario convenido para la jornada ordinaria.
Para el cálculo de lo que corresponda al trabajador o trabajadora por causa de horas extras, se tomará como base el salario normal devengado durante la jornada respectiva.
</t>
        </r>
      </text>
    </comment>
    <comment ref="J7" authorId="0" shapeId="0">
      <text>
        <r>
          <rPr>
            <b/>
            <sz val="9"/>
            <color indexed="81"/>
            <rFont val="Tahoma"/>
            <family val="2"/>
          </rPr>
          <t xml:space="preserve">Artículo 117. </t>
        </r>
        <r>
          <rPr>
            <sz val="9"/>
            <color indexed="81"/>
            <rFont val="Tahoma"/>
            <family val="2"/>
          </rPr>
          <t xml:space="preserve">La jornada nocturna será pagada con un treinta por ciento de recargo, por lo menos, sobre el salario convenido para la jornada diurna.
Para el cálculo de lo que corresponda al trabajador o trabajadora por causa del trabajo nocturno, se tomará como base el salario normal devengado durante la jornada respectiva.
</t>
        </r>
      </text>
    </comment>
    <comment ref="J8" authorId="0" shapeId="0">
      <text>
        <r>
          <rPr>
            <b/>
            <sz val="9"/>
            <color indexed="81"/>
            <rFont val="Tahoma"/>
            <family val="2"/>
          </rPr>
          <t xml:space="preserve">Artículo 120.  </t>
        </r>
        <r>
          <rPr>
            <sz val="9"/>
            <color indexed="81"/>
            <rFont val="Tahoma"/>
            <family val="2"/>
          </rPr>
          <t xml:space="preserve"> Cuando un trabajador o una trabajadora  preste servicio en día feriado tendrá derecho al salario correspondiente a ese día y además al que le corresponda por razón del trabajo realizado, calculado con recargo del cincuenta por ciento sobre el salario normal.
</t>
        </r>
      </text>
    </comment>
  </commentList>
</comments>
</file>

<file path=xl/sharedStrings.xml><?xml version="1.0" encoding="utf-8"?>
<sst xmlns="http://schemas.openxmlformats.org/spreadsheetml/2006/main" count="456" uniqueCount="262">
  <si>
    <t>Calculo de Utilidades</t>
  </si>
  <si>
    <t>Mes</t>
  </si>
  <si>
    <t>Acumulado</t>
  </si>
  <si>
    <t>Días de utilidades:</t>
  </si>
  <si>
    <t>Salario base</t>
  </si>
  <si>
    <t>Enero</t>
  </si>
  <si>
    <t>Febrero</t>
  </si>
  <si>
    <t>Marzo</t>
  </si>
  <si>
    <t>Abril</t>
  </si>
  <si>
    <t>Mayo</t>
  </si>
  <si>
    <t>Junio</t>
  </si>
  <si>
    <t>Julio</t>
  </si>
  <si>
    <t>Agosto</t>
  </si>
  <si>
    <t>Septiembre</t>
  </si>
  <si>
    <t>Octubre</t>
  </si>
  <si>
    <t>Noviembre</t>
  </si>
  <si>
    <t>Diciembre</t>
  </si>
  <si>
    <t>Saldo hasta la fecha:</t>
  </si>
  <si>
    <t>Fecha de Ingreso:</t>
  </si>
  <si>
    <t>Datos del Trabajador</t>
  </si>
  <si>
    <t>Resumen</t>
  </si>
  <si>
    <t>Fecha Actual:</t>
  </si>
  <si>
    <t>Sueldo Actual:</t>
  </si>
  <si>
    <t>BsF.</t>
  </si>
  <si>
    <t>Saldo Actual:</t>
  </si>
  <si>
    <t>BsF</t>
  </si>
  <si>
    <t>Días Transcurridos:</t>
  </si>
  <si>
    <t>Meses Transcurridos:</t>
  </si>
  <si>
    <t>Utilidades</t>
  </si>
  <si>
    <t>Años de Servicio:</t>
  </si>
  <si>
    <t>Indicadores Económicos</t>
  </si>
  <si>
    <t>Descuentos del Mes</t>
  </si>
  <si>
    <t>Sueldo Mínimo:</t>
  </si>
  <si>
    <t>Total Descuentos del Mes:</t>
  </si>
  <si>
    <t>Unidad Tributaria:</t>
  </si>
  <si>
    <t>Tasa pasiva:</t>
  </si>
  <si>
    <t>%</t>
  </si>
  <si>
    <t>Vacaciones</t>
  </si>
  <si>
    <t>Semanas Laborables Año:</t>
  </si>
  <si>
    <t>Cesta Tickets</t>
  </si>
  <si>
    <t>Aplica al Beneficio:</t>
  </si>
  <si>
    <t>SI</t>
  </si>
  <si>
    <t>Monto CT del mes:</t>
  </si>
  <si>
    <t>Por: Fidel Moreno</t>
  </si>
  <si>
    <t>fidelsmc@gmail.com</t>
  </si>
  <si>
    <t>Según Ley Orgánica de Trabajo, los Trabajadores y las Trabajadoras de 2012, Venezuela</t>
  </si>
  <si>
    <t>(VER)</t>
  </si>
  <si>
    <t>Volver</t>
  </si>
  <si>
    <t>LOTTT</t>
  </si>
  <si>
    <t>LIQUIDACION</t>
  </si>
  <si>
    <t>Calcular Liquidación</t>
  </si>
  <si>
    <t>* En este mes nace su derecho a vacionaciones, recuerde incluir el monto del bono vacacional a su sueldo. Art 192 LOTTT</t>
  </si>
  <si>
    <t>Deducciones</t>
  </si>
  <si>
    <t>INCES</t>
  </si>
  <si>
    <t>Total Utilidades</t>
  </si>
  <si>
    <t>Alicuota</t>
  </si>
  <si>
    <t>Periodo Actual</t>
  </si>
  <si>
    <t>-</t>
  </si>
  <si>
    <t>Días adicionales por años de servicio:</t>
  </si>
  <si>
    <t>Habiles</t>
  </si>
  <si>
    <t>Total de dias de Disfrute:</t>
  </si>
  <si>
    <t>Dias de disfrute</t>
  </si>
  <si>
    <t>Días de Disfrute base:</t>
  </si>
  <si>
    <t>Bono Vacacional</t>
  </si>
  <si>
    <t>Bono Base:</t>
  </si>
  <si>
    <t>Dias</t>
  </si>
  <si>
    <t>Bono adicional por años de servicio:</t>
  </si>
  <si>
    <t>Sueldo</t>
  </si>
  <si>
    <t>Total de Bono:</t>
  </si>
  <si>
    <t>Deducciones:</t>
  </si>
  <si>
    <t>Paro Forzoso:</t>
  </si>
  <si>
    <t>Ahorro Habitacional:</t>
  </si>
  <si>
    <t>Seguro Social obligatorio:</t>
  </si>
  <si>
    <t>Total Deducciones:</t>
  </si>
  <si>
    <t>Año</t>
  </si>
  <si>
    <t>detector de mes</t>
  </si>
  <si>
    <t>Monto</t>
  </si>
  <si>
    <t>Intereses de las prestaciones</t>
  </si>
  <si>
    <t>Dias de prestaciones</t>
  </si>
  <si>
    <t>Total de prestaciones ganadas:</t>
  </si>
  <si>
    <t>Prestaciones retiradas:</t>
  </si>
  <si>
    <t>Prestaciones restantes:</t>
  </si>
  <si>
    <t>Cantidad maxima disponible:</t>
  </si>
  <si>
    <t>Total intereses acumulados:</t>
  </si>
  <si>
    <t>Intereses retirados:</t>
  </si>
  <si>
    <t>Intereses restantes:</t>
  </si>
  <si>
    <t>Tasa</t>
  </si>
  <si>
    <t>VOLVER</t>
  </si>
  <si>
    <t>Prestaciones</t>
  </si>
  <si>
    <t>Intereses:</t>
  </si>
  <si>
    <t>Total:</t>
  </si>
  <si>
    <t>Año:</t>
  </si>
  <si>
    <t>Dia</t>
  </si>
  <si>
    <t>Lunes del mes:</t>
  </si>
  <si>
    <t>Deducciones del mes</t>
  </si>
  <si>
    <t>Retencion Del Seguro Social</t>
  </si>
  <si>
    <t>Excede 5 Sueldos mínimos:</t>
  </si>
  <si>
    <t>Semanas Laborables del año:</t>
  </si>
  <si>
    <t>Cantidad de Lunes del mes:</t>
  </si>
  <si>
    <t>% Retencion:</t>
  </si>
  <si>
    <t>Descuento Mensual:</t>
  </si>
  <si>
    <t>Paro Forzoso</t>
  </si>
  <si>
    <t>Excede 10 Sueldos mínimos:</t>
  </si>
  <si>
    <t>Ley de Politica Habitacional (LPH)</t>
  </si>
  <si>
    <t>%Retencion:</t>
  </si>
  <si>
    <t>Ley de Politica habitacional</t>
  </si>
  <si>
    <t>TOTAL DESCUENTOS:</t>
  </si>
  <si>
    <t>Cálculos de Cesta Ticket</t>
  </si>
  <si>
    <t>% de la UT</t>
  </si>
  <si>
    <t>Monto diario:</t>
  </si>
  <si>
    <t>Días trabajados del mes:</t>
  </si>
  <si>
    <t>Ley de Alimentacion para trabajadores</t>
  </si>
  <si>
    <t>LOT</t>
  </si>
  <si>
    <t>DA</t>
  </si>
  <si>
    <t>LEY</t>
  </si>
  <si>
    <t>Corector</t>
  </si>
  <si>
    <t>Mensual</t>
  </si>
  <si>
    <t>Salario Diario:</t>
  </si>
  <si>
    <t>Fraccion diaria de utilidades:</t>
  </si>
  <si>
    <t>Diarios</t>
  </si>
  <si>
    <t>Fraccion diaria bono de las vacaciones:</t>
  </si>
  <si>
    <t>Salario Integral Mensual =</t>
  </si>
  <si>
    <t>Salario Integral actual:</t>
  </si>
  <si>
    <t>¿Dónde puedo encontras estos valores?</t>
  </si>
  <si>
    <t>Tipo de Liquidación:</t>
  </si>
  <si>
    <t>Tipo de Despido:</t>
  </si>
  <si>
    <t>Injustificado</t>
  </si>
  <si>
    <t>Año(s)</t>
  </si>
  <si>
    <t>Retroactividad=</t>
  </si>
  <si>
    <t>Ultimo Sueldo =</t>
  </si>
  <si>
    <t>Monto de Prestaciones retroactivas =</t>
  </si>
  <si>
    <t>(A)</t>
  </si>
  <si>
    <t>(B)</t>
  </si>
  <si>
    <t>Se selecciona el monto mayor entre A y B para el pago de prestaciones.</t>
  </si>
  <si>
    <t>Monto del fondo de prestaciones =</t>
  </si>
  <si>
    <t>Días por retroactivos, 30 días X año =</t>
  </si>
  <si>
    <t>Días</t>
  </si>
  <si>
    <t>En este caso se selecciona la opción:</t>
  </si>
  <si>
    <t>Descripción</t>
  </si>
  <si>
    <t>TOTAL LIQUIDACIÓN</t>
  </si>
  <si>
    <t>Retiro del fondo de prestaciones</t>
  </si>
  <si>
    <t>Pago de sueldo</t>
  </si>
  <si>
    <t>Tipo de Pago:</t>
  </si>
  <si>
    <t>Cada 15 dias</t>
  </si>
  <si>
    <t>Proporcion de quincenas:</t>
  </si>
  <si>
    <t>El 15 del mes:</t>
  </si>
  <si>
    <t>El 30 del mes:</t>
  </si>
  <si>
    <t>Monto del sueldo el 15</t>
  </si>
  <si>
    <t>Monto del sueldo el 30</t>
  </si>
  <si>
    <t>Deducciones de Ley</t>
  </si>
  <si>
    <t>Total del Sueldo el 30</t>
  </si>
  <si>
    <t>Sueldo del 15 =</t>
  </si>
  <si>
    <t>Sueldo del 30 =</t>
  </si>
  <si>
    <t>Periodo de pago:</t>
  </si>
  <si>
    <t>Retiros</t>
  </si>
  <si>
    <t>Autor:</t>
  </si>
  <si>
    <t>Fidel Moreno</t>
  </si>
  <si>
    <t>http://fidelsmc.blogspot.com/</t>
  </si>
  <si>
    <t>Maracaibo - Venezuela</t>
  </si>
  <si>
    <t>Esta hoja es totalmente gratuita, queda prohibida su venta.</t>
  </si>
  <si>
    <t>Los cálculos mostrados son aproximaciones y no son vinculantes legalmente, recuerde siempre asesorarse con un especialista en la materia</t>
  </si>
  <si>
    <t>Descarga la Ultima version</t>
  </si>
  <si>
    <t>Monto total del fondo de prestaciones =</t>
  </si>
  <si>
    <t>Ver video tutorial en youtube</t>
  </si>
  <si>
    <t>Unete a Dropbox</t>
  </si>
  <si>
    <t>Tipo de sueldo:</t>
  </si>
  <si>
    <t>Sueldo mensual actual:</t>
  </si>
  <si>
    <t>Monto:</t>
  </si>
  <si>
    <t>Salario mensual:</t>
  </si>
  <si>
    <t>Conversion a sueldo mensual</t>
  </si>
  <si>
    <t>Si quieres colaborar con el proyecto has tu donativo</t>
  </si>
  <si>
    <t>DONAR</t>
  </si>
  <si>
    <t>Sueldo Base por Hora:</t>
  </si>
  <si>
    <t>Lunes</t>
  </si>
  <si>
    <t>Martes</t>
  </si>
  <si>
    <t>Jueves</t>
  </si>
  <si>
    <t>Viernes</t>
  </si>
  <si>
    <t>Hora de Entrada</t>
  </si>
  <si>
    <t>Hora de Salida</t>
  </si>
  <si>
    <t>Horas descanso</t>
  </si>
  <si>
    <t>Horas Extra Diurnas</t>
  </si>
  <si>
    <t>Horas Nocturnas</t>
  </si>
  <si>
    <t>Horas Nocturnas Extras</t>
  </si>
  <si>
    <t>Entrada</t>
  </si>
  <si>
    <t>Salida</t>
  </si>
  <si>
    <t>Jornada Asignada</t>
  </si>
  <si>
    <t>Diurna</t>
  </si>
  <si>
    <t>Inicio Hora Nocturna:</t>
  </si>
  <si>
    <t>Horas Diurnas</t>
  </si>
  <si>
    <t>En la jornada</t>
  </si>
  <si>
    <t>Total
Horas</t>
  </si>
  <si>
    <t>Total por Jornada:</t>
  </si>
  <si>
    <t>Turno</t>
  </si>
  <si>
    <t>T1</t>
  </si>
  <si>
    <t>T2</t>
  </si>
  <si>
    <t>T3</t>
  </si>
  <si>
    <t>Modificar Salario Base</t>
  </si>
  <si>
    <t>Salario Integral:</t>
  </si>
  <si>
    <t>Renuncia</t>
  </si>
  <si>
    <t>Miércoles</t>
  </si>
  <si>
    <t>Sábado</t>
  </si>
  <si>
    <t>Día</t>
  </si>
  <si>
    <t>Total por Semana:</t>
  </si>
  <si>
    <t>Horas</t>
  </si>
  <si>
    <t>Domingo*</t>
  </si>
  <si>
    <t>Recargo por Hora Extra:</t>
  </si>
  <si>
    <t>Recargo por Hora nocturna:</t>
  </si>
  <si>
    <t>Recargo por Feriado/Descanso:</t>
  </si>
  <si>
    <t>Feriado</t>
  </si>
  <si>
    <t>NO</t>
  </si>
  <si>
    <t>Total</t>
  </si>
  <si>
    <t>Volver a Main</t>
  </si>
  <si>
    <t>Volver a Utilidades</t>
  </si>
  <si>
    <t>Salario Base:</t>
  </si>
  <si>
    <t xml:space="preserve">Salario Integral </t>
  </si>
  <si>
    <t>Nocturna</t>
  </si>
  <si>
    <t>Tu Opinion es muy importante
llena el formulario de satisfaccion al cliente y ¡ayudanos a mejorar!</t>
  </si>
  <si>
    <t xml:space="preserve">
Verifica que el programa venga de la fuente original, el unico vendedor autorizado para su distribucion es FIDELSMC en Mercadolibre</t>
  </si>
  <si>
    <t>MES</t>
  </si>
  <si>
    <t>Salario</t>
  </si>
  <si>
    <t>¿Necesitas ayuda?
Visita la guia del usuario en linea</t>
  </si>
  <si>
    <t>Nombre del Trabajador</t>
  </si>
  <si>
    <t>Periodo de pago</t>
  </si>
  <si>
    <t>N°</t>
  </si>
  <si>
    <t>Del</t>
  </si>
  <si>
    <t>Al</t>
  </si>
  <si>
    <t>DEVENGADO</t>
  </si>
  <si>
    <t>Sueldo / Salario</t>
  </si>
  <si>
    <t>Horas Extras</t>
  </si>
  <si>
    <t>Comisiones</t>
  </si>
  <si>
    <t>Caja de ahorros</t>
  </si>
  <si>
    <t>Bonos</t>
  </si>
  <si>
    <t>Viaticos</t>
  </si>
  <si>
    <t>Cesta Ticket</t>
  </si>
  <si>
    <t>Total Devengado BsF:</t>
  </si>
  <si>
    <t>Seguro Social</t>
  </si>
  <si>
    <t>Seg. De paro forzoso</t>
  </si>
  <si>
    <t>Impuesto S/Renta</t>
  </si>
  <si>
    <t>Ahorro Hab. LPH</t>
  </si>
  <si>
    <t>Caja de Ahorro (Aporte)</t>
  </si>
  <si>
    <t>Sindicato</t>
  </si>
  <si>
    <t>Prestamos</t>
  </si>
  <si>
    <t>Anticipos</t>
  </si>
  <si>
    <t>Otros</t>
  </si>
  <si>
    <t>Total Deducciones BsF:</t>
  </si>
  <si>
    <t>Festivos</t>
  </si>
  <si>
    <t>Sueldo base para el calculo (Art 121):</t>
  </si>
  <si>
    <t>Pago de dias de disfrute</t>
  </si>
  <si>
    <t>Pago de bono Vacacional</t>
  </si>
  <si>
    <t>Salario base para el calculo</t>
  </si>
  <si>
    <t>Monto de las Vacaciones</t>
  </si>
  <si>
    <t>Hábiles</t>
  </si>
  <si>
    <t>Fraccion de las vacaciones</t>
  </si>
  <si>
    <t>Meses Trascurridos:</t>
  </si>
  <si>
    <t>% de las vacaciones ganadas:</t>
  </si>
  <si>
    <t>Total Vacaciones Ganadas:</t>
  </si>
  <si>
    <t>Total devengado</t>
  </si>
  <si>
    <t>Total de vacaciones:</t>
  </si>
  <si>
    <t>Ayuda</t>
  </si>
  <si>
    <t>Dias Feriados</t>
  </si>
  <si>
    <t xml:space="preserve">Dias de Descanso </t>
  </si>
  <si>
    <t>Cálculos Salariales</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</si>
</sst>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quot;Bs. l&quot;\ #,##0.00"/>
    <numFmt numFmtId="165" formatCode="0.0"/>
    <numFmt numFmtId="166" formatCode="&quot;Bs.&quot;\ #,##0.00"/>
    <numFmt numFmtId="167" formatCode="&quot;Bs. F.&quot;\ #,##0.00"/>
    <numFmt numFmtId="168" formatCode="&quot;Bs. &quot;\ #,##0.00"/>
  </numFmts>
  <fonts count="36" x14ac:knownFonts="1">
    <font>
      <sz val="11"/>
      <color theme="1"/>
      <name val="Calibri"/>
      <family val="2"/>
      <scheme val="minor"/>
    </font>
    <font>
      <sz val="10"/>
      <name val="Arial"/>
      <family val="2"/>
    </font>
    <font>
      <b/>
      <sz val="10"/>
      <color indexed="12"/>
      <name val="Arial"/>
      <family val="2"/>
    </font>
    <font>
      <b/>
      <sz val="10"/>
      <name val="Arial"/>
      <family val="2"/>
    </font>
    <font>
      <b/>
      <sz val="10"/>
      <color indexed="9"/>
      <name val="Arial"/>
      <family val="2"/>
    </font>
    <font>
      <u/>
      <sz val="10"/>
      <color indexed="12"/>
      <name val="Arial"/>
      <family val="2"/>
    </font>
    <font>
      <u/>
      <sz val="8"/>
      <color indexed="12"/>
      <name val="Arial"/>
      <family val="2"/>
    </font>
    <font>
      <sz val="9"/>
      <color indexed="81"/>
      <name val="Tahoma"/>
      <family val="2"/>
    </font>
    <font>
      <b/>
      <sz val="9"/>
      <color indexed="81"/>
      <name val="Tahoma"/>
      <family val="2"/>
    </font>
    <font>
      <b/>
      <sz val="8"/>
      <color indexed="81"/>
      <name val="Tahoma"/>
      <family val="2"/>
    </font>
    <font>
      <sz val="8"/>
      <color indexed="81"/>
      <name val="Tahoma"/>
      <family val="2"/>
    </font>
    <font>
      <sz val="10"/>
      <color indexed="8"/>
      <name val="Arial"/>
      <family val="2"/>
    </font>
    <font>
      <u/>
      <sz val="18"/>
      <color indexed="12"/>
      <name val="Arial"/>
      <family val="2"/>
    </font>
    <font>
      <b/>
      <sz val="11"/>
      <color indexed="81"/>
      <name val="Tahoma"/>
      <family val="2"/>
    </font>
    <font>
      <b/>
      <sz val="8"/>
      <name val="Arial"/>
      <family val="2"/>
    </font>
    <font>
      <sz val="10"/>
      <name val="Arial"/>
      <family val="2"/>
    </font>
    <font>
      <b/>
      <sz val="11"/>
      <color rgb="FF3333FF"/>
      <name val="Calibri"/>
      <family val="2"/>
      <scheme val="minor"/>
    </font>
    <font>
      <b/>
      <sz val="11"/>
      <color theme="1"/>
      <name val="Calibri"/>
      <family val="2"/>
      <scheme val="minor"/>
    </font>
    <font>
      <b/>
      <sz val="11"/>
      <name val="Calibri"/>
      <family val="2"/>
      <scheme val="minor"/>
    </font>
    <font>
      <sz val="11"/>
      <color theme="0"/>
      <name val="Calibri"/>
      <family val="2"/>
      <scheme val="minor"/>
    </font>
    <font>
      <sz val="11"/>
      <color rgb="FFFF0000"/>
      <name val="Calibri"/>
      <family val="2"/>
      <scheme val="minor"/>
    </font>
    <font>
      <b/>
      <sz val="11"/>
      <color rgb="FFFF0000"/>
      <name val="Calibri"/>
      <family val="2"/>
      <scheme val="minor"/>
    </font>
    <font>
      <b/>
      <sz val="10"/>
      <color rgb="FF3333FF"/>
      <name val="Arial"/>
      <family val="2"/>
    </font>
    <font>
      <sz val="11"/>
      <name val="Calibri"/>
      <family val="2"/>
      <scheme val="minor"/>
    </font>
    <font>
      <b/>
      <sz val="11"/>
      <color theme="0"/>
      <name val="Calibri"/>
      <family val="2"/>
      <scheme val="minor"/>
    </font>
    <font>
      <sz val="10"/>
      <color theme="3" tint="0.39997558519241921"/>
      <name val="Arial"/>
      <family val="2"/>
    </font>
    <font>
      <b/>
      <sz val="14"/>
      <color theme="1"/>
      <name val="Calibri"/>
      <family val="2"/>
      <scheme val="minor"/>
    </font>
    <font>
      <sz val="11"/>
      <color theme="0" tint="-0.249977111117893"/>
      <name val="Calibri"/>
      <family val="2"/>
      <scheme val="minor"/>
    </font>
    <font>
      <b/>
      <sz val="11"/>
      <color rgb="FF0000FF"/>
      <name val="Calibri"/>
      <family val="2"/>
      <scheme val="minor"/>
    </font>
    <font>
      <sz val="10"/>
      <color theme="1"/>
      <name val="Calibri"/>
      <family val="2"/>
      <scheme val="minor"/>
    </font>
    <font>
      <b/>
      <sz val="18"/>
      <color theme="0"/>
      <name val="Arial"/>
      <family val="2"/>
    </font>
    <font>
      <b/>
      <sz val="10"/>
      <color theme="3" tint="-0.249977111117893"/>
      <name val="Arial"/>
      <family val="2"/>
    </font>
    <font>
      <sz val="8"/>
      <color theme="1"/>
      <name val="Calibri"/>
      <family val="2"/>
      <scheme val="minor"/>
    </font>
    <font>
      <b/>
      <sz val="16"/>
      <color theme="0"/>
      <name val="Calibri"/>
      <family val="2"/>
      <scheme val="minor"/>
    </font>
    <font>
      <sz val="10"/>
      <name val="Arial"/>
    </font>
    <font>
      <sz val="11"/>
      <color rgb="FF000000"/>
      <name val="Calibri"/>
      <family val="2"/>
    </font>
  </fonts>
  <fills count="29">
    <fill>
      <patternFill patternType="none"/>
    </fill>
    <fill>
      <patternFill patternType="gray125"/>
    </fill>
    <fill>
      <patternFill patternType="solid">
        <fgColor indexed="53"/>
        <bgColor indexed="64"/>
      </patternFill>
    </fill>
    <fill>
      <patternFill patternType="solid">
        <fgColor indexed="52"/>
        <bgColor indexed="64"/>
      </patternFill>
    </fill>
    <fill>
      <patternFill patternType="solid">
        <fgColor indexed="47"/>
        <bgColor indexed="64"/>
      </patternFill>
    </fill>
    <fill>
      <patternFill patternType="solid">
        <fgColor indexed="50"/>
        <bgColor indexed="64"/>
      </patternFill>
    </fill>
    <fill>
      <patternFill patternType="solid">
        <fgColor indexed="49"/>
        <bgColor indexed="64"/>
      </patternFill>
    </fill>
    <fill>
      <patternFill patternType="solid">
        <fgColor indexed="22"/>
        <bgColor indexed="64"/>
      </patternFill>
    </fill>
    <fill>
      <patternFill patternType="solid">
        <fgColor indexed="55"/>
        <bgColor indexed="64"/>
      </patternFill>
    </fill>
    <fill>
      <patternFill patternType="solid">
        <fgColor indexed="13"/>
        <bgColor indexed="64"/>
      </patternFill>
    </fill>
    <fill>
      <patternFill patternType="solid">
        <fgColor indexed="48"/>
        <bgColor indexed="64"/>
      </patternFill>
    </fill>
    <fill>
      <patternFill patternType="solid">
        <fgColor indexed="15"/>
        <bgColor indexed="64"/>
      </patternFill>
    </fill>
    <fill>
      <patternFill patternType="solid">
        <fgColor indexed="10"/>
        <bgColor indexed="64"/>
      </patternFill>
    </fill>
    <fill>
      <patternFill patternType="solid">
        <fgColor indexed="17"/>
        <bgColor indexed="64"/>
      </patternFill>
    </fill>
    <fill>
      <patternFill patternType="solid">
        <fgColor indexed="51"/>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0"/>
        <bgColor indexed="64"/>
      </patternFill>
    </fill>
    <fill>
      <patternFill patternType="solid">
        <fgColor theme="4" tint="0.59999389629810485"/>
        <bgColor indexed="64"/>
      </patternFill>
    </fill>
    <fill>
      <patternFill patternType="solid">
        <fgColor rgb="FFFFFF00"/>
        <bgColor indexed="64"/>
      </patternFill>
    </fill>
    <fill>
      <patternFill patternType="solid">
        <fgColor theme="5" tint="0.39997558519241921"/>
        <bgColor indexed="64"/>
      </patternFill>
    </fill>
    <fill>
      <patternFill patternType="solid">
        <fgColor theme="3" tint="0.79998168889431442"/>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rgb="FF0033CC"/>
        <bgColor indexed="64"/>
      </patternFill>
    </fill>
    <fill>
      <patternFill patternType="solid">
        <fgColor rgb="FF99CCFF"/>
        <bgColor indexed="64"/>
      </patternFill>
    </fill>
    <fill>
      <patternFill patternType="solid">
        <fgColor rgb="FFFFFFCC"/>
        <bgColor indexed="64"/>
      </patternFill>
    </fill>
    <fill>
      <patternFill patternType="solid">
        <fgColor theme="8" tint="-0.249977111117893"/>
        <bgColor indexed="64"/>
      </patternFill>
    </fill>
  </fills>
  <borders count="29">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indexed="64"/>
      </bottom>
      <diagonal/>
    </border>
    <border>
      <left/>
      <right/>
      <top style="thin">
        <color indexed="64"/>
      </top>
      <bottom style="thin">
        <color indexed="64"/>
      </bottom>
      <diagonal/>
    </border>
    <border>
      <left/>
      <right/>
      <top/>
      <bottom style="double">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thin">
        <color indexed="64"/>
      </bottom>
      <diagonal/>
    </border>
  </borders>
  <cellStyleXfs count="5">
    <xf numFmtId="0" fontId="0" fillId="0" borderId="0"/>
    <xf numFmtId="0" fontId="5" fillId="0" borderId="0" applyNumberFormat="0" applyFill="0" applyBorder="0" applyAlignment="0" applyProtection="0">
      <alignment vertical="top"/>
      <protection locked="0"/>
    </xf>
    <xf numFmtId="0" fontId="1" fillId="0" borderId="0"/>
    <xf numFmtId="0" fontId="15" fillId="0" borderId="0"/>
    <xf numFmtId="0" fontId="34" fillId="0" borderId="0"/>
  </cellStyleXfs>
  <cellXfs count="515">
    <xf numFmtId="0" fontId="0" fillId="0" borderId="0" xfId="0"/>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0" xfId="0" applyBorder="1"/>
    <xf numFmtId="0" fontId="16" fillId="0" borderId="0" xfId="0" applyFont="1" applyBorder="1" applyAlignment="1">
      <alignment horizontal="center" vertical="top"/>
    </xf>
    <xf numFmtId="164" fontId="0" fillId="0" borderId="0" xfId="0" applyNumberFormat="1" applyBorder="1"/>
    <xf numFmtId="0" fontId="0" fillId="0" borderId="6" xfId="0" applyBorder="1"/>
    <xf numFmtId="0" fontId="0" fillId="0" borderId="7" xfId="0" applyBorder="1"/>
    <xf numFmtId="0" fontId="0" fillId="0" borderId="8" xfId="0" applyBorder="1"/>
    <xf numFmtId="164" fontId="17" fillId="0" borderId="0" xfId="0" applyNumberFormat="1" applyFont="1" applyBorder="1"/>
    <xf numFmtId="0" fontId="17" fillId="0" borderId="9" xfId="0" applyFont="1" applyBorder="1" applyAlignment="1">
      <alignment horizontal="center" vertical="center"/>
    </xf>
    <xf numFmtId="0" fontId="0" fillId="0" borderId="10" xfId="0" applyBorder="1"/>
    <xf numFmtId="0" fontId="17" fillId="0" borderId="11" xfId="0" applyFont="1" applyBorder="1"/>
    <xf numFmtId="0" fontId="1" fillId="0" borderId="6" xfId="2" applyBorder="1" applyAlignment="1">
      <alignment horizontal="left"/>
    </xf>
    <xf numFmtId="0" fontId="1" fillId="0" borderId="0" xfId="2" applyBorder="1"/>
    <xf numFmtId="0" fontId="1" fillId="0" borderId="5" xfId="2" applyBorder="1"/>
    <xf numFmtId="0" fontId="1" fillId="0" borderId="4" xfId="2" applyBorder="1" applyAlignment="1">
      <alignment horizontal="right"/>
    </xf>
    <xf numFmtId="0" fontId="1" fillId="0" borderId="6" xfId="2" applyBorder="1" applyAlignment="1">
      <alignment horizontal="right"/>
    </xf>
    <xf numFmtId="0" fontId="1" fillId="0" borderId="7" xfId="2" applyBorder="1"/>
    <xf numFmtId="0" fontId="1" fillId="0" borderId="8" xfId="2" applyBorder="1"/>
    <xf numFmtId="0" fontId="2" fillId="0" borderId="0" xfId="2" applyFont="1" applyBorder="1"/>
    <xf numFmtId="14" fontId="2" fillId="0" borderId="0" xfId="2" applyNumberFormat="1" applyFont="1" applyBorder="1"/>
    <xf numFmtId="0" fontId="1" fillId="0" borderId="4" xfId="2" applyBorder="1"/>
    <xf numFmtId="0" fontId="3" fillId="0" borderId="5" xfId="2" applyFont="1" applyBorder="1" applyAlignment="1">
      <alignment horizontal="left"/>
    </xf>
    <xf numFmtId="0" fontId="1" fillId="0" borderId="6" xfId="2" applyBorder="1"/>
    <xf numFmtId="2" fontId="2" fillId="0" borderId="0" xfId="2" applyNumberFormat="1" applyFont="1" applyBorder="1"/>
    <xf numFmtId="0" fontId="3" fillId="2" borderId="2" xfId="2" applyFont="1" applyFill="1" applyBorder="1" applyAlignment="1"/>
    <xf numFmtId="0" fontId="1" fillId="0" borderId="6" xfId="2" applyFill="1" applyBorder="1" applyAlignment="1">
      <alignment horizontal="right"/>
    </xf>
    <xf numFmtId="0" fontId="2" fillId="0" borderId="7" xfId="2" applyFont="1" applyFill="1" applyBorder="1"/>
    <xf numFmtId="0" fontId="1" fillId="3" borderId="2" xfId="2" applyFill="1" applyBorder="1"/>
    <xf numFmtId="2" fontId="1" fillId="0" borderId="8" xfId="2" applyNumberFormat="1" applyBorder="1"/>
    <xf numFmtId="0" fontId="1" fillId="4" borderId="2" xfId="2" applyFill="1" applyBorder="1"/>
    <xf numFmtId="0" fontId="3" fillId="3" borderId="1" xfId="2" applyFont="1" applyFill="1" applyBorder="1" applyAlignment="1">
      <alignment horizontal="left"/>
    </xf>
    <xf numFmtId="0" fontId="3" fillId="4" borderId="1" xfId="2" applyFont="1" applyFill="1" applyBorder="1" applyAlignment="1">
      <alignment horizontal="left"/>
    </xf>
    <xf numFmtId="0" fontId="1" fillId="5" borderId="2" xfId="2" applyFill="1" applyBorder="1"/>
    <xf numFmtId="2" fontId="1" fillId="0" borderId="7" xfId="2" applyNumberFormat="1" applyBorder="1"/>
    <xf numFmtId="0" fontId="3" fillId="5" borderId="1" xfId="2" applyFont="1" applyFill="1" applyBorder="1"/>
    <xf numFmtId="0" fontId="3" fillId="6" borderId="1" xfId="2" applyFont="1" applyFill="1" applyBorder="1" applyAlignment="1">
      <alignment horizontal="left"/>
    </xf>
    <xf numFmtId="0" fontId="3" fillId="6" borderId="2" xfId="2" applyFont="1" applyFill="1" applyBorder="1"/>
    <xf numFmtId="0" fontId="1" fillId="0" borderId="0" xfId="2" applyFont="1" applyBorder="1" applyAlignment="1">
      <alignment horizontal="right"/>
    </xf>
    <xf numFmtId="0" fontId="1" fillId="0" borderId="2" xfId="2" applyBorder="1"/>
    <xf numFmtId="0" fontId="1" fillId="0" borderId="3" xfId="2" applyBorder="1"/>
    <xf numFmtId="0" fontId="5" fillId="0" borderId="6" xfId="1" applyBorder="1" applyAlignment="1" applyProtection="1">
      <alignment horizontal="left"/>
    </xf>
    <xf numFmtId="0" fontId="1" fillId="0" borderId="0" xfId="2" applyFill="1" applyBorder="1"/>
    <xf numFmtId="0" fontId="1" fillId="0" borderId="7" xfId="2" applyFont="1" applyBorder="1" applyAlignment="1">
      <alignment horizontal="right"/>
    </xf>
    <xf numFmtId="0" fontId="1" fillId="7" borderId="0" xfId="2" applyFill="1"/>
    <xf numFmtId="0" fontId="3" fillId="7" borderId="0" xfId="2" applyFont="1" applyFill="1" applyBorder="1" applyAlignment="1"/>
    <xf numFmtId="0" fontId="4" fillId="7" borderId="0" xfId="2" applyFont="1" applyFill="1" applyBorder="1" applyAlignment="1"/>
    <xf numFmtId="14" fontId="1" fillId="7" borderId="0" xfId="2" applyNumberFormat="1" applyFill="1" applyAlignment="1">
      <alignment horizontal="left"/>
    </xf>
    <xf numFmtId="0" fontId="1" fillId="7" borderId="0" xfId="2" applyFont="1" applyFill="1"/>
    <xf numFmtId="0" fontId="1" fillId="0" borderId="1" xfId="2" applyFill="1" applyBorder="1"/>
    <xf numFmtId="0" fontId="1" fillId="0" borderId="2" xfId="2" applyFill="1" applyBorder="1"/>
    <xf numFmtId="0" fontId="1" fillId="0" borderId="3" xfId="2" applyFill="1" applyBorder="1"/>
    <xf numFmtId="0" fontId="1" fillId="0" borderId="4" xfId="2" applyFill="1" applyBorder="1"/>
    <xf numFmtId="0" fontId="1" fillId="0" borderId="5" xfId="2" applyFill="1" applyBorder="1"/>
    <xf numFmtId="0" fontId="1" fillId="0" borderId="4" xfId="2" applyBorder="1" applyAlignment="1">
      <alignment horizontal="left"/>
    </xf>
    <xf numFmtId="0" fontId="0" fillId="15" borderId="0" xfId="0" applyFill="1"/>
    <xf numFmtId="0" fontId="6" fillId="0" borderId="0" xfId="1" applyFont="1" applyBorder="1" applyAlignment="1" applyProtection="1">
      <alignment wrapText="1"/>
    </xf>
    <xf numFmtId="0" fontId="5" fillId="3" borderId="3" xfId="1" applyFill="1" applyBorder="1" applyAlignment="1" applyProtection="1">
      <alignment horizontal="center" vertical="center"/>
    </xf>
    <xf numFmtId="0" fontId="1" fillId="0" borderId="0" xfId="2" applyBorder="1" applyAlignment="1">
      <alignment horizontal="left"/>
    </xf>
    <xf numFmtId="0" fontId="1" fillId="0" borderId="5" xfId="2" applyBorder="1" applyAlignment="1">
      <alignment horizontal="left"/>
    </xf>
    <xf numFmtId="0" fontId="0" fillId="0" borderId="0" xfId="0"/>
    <xf numFmtId="0" fontId="17" fillId="0" borderId="0" xfId="0" applyFont="1" applyBorder="1" applyAlignment="1">
      <alignment horizontal="center" vertical="center"/>
    </xf>
    <xf numFmtId="0" fontId="0" fillId="0" borderId="0" xfId="0" applyFill="1" applyBorder="1"/>
    <xf numFmtId="164" fontId="16" fillId="0" borderId="10" xfId="0" applyNumberFormat="1" applyFont="1" applyBorder="1"/>
    <xf numFmtId="164" fontId="16" fillId="0" borderId="0" xfId="0" applyNumberFormat="1" applyFont="1" applyBorder="1"/>
    <xf numFmtId="0" fontId="0" fillId="0" borderId="9" xfId="0" applyFill="1" applyBorder="1"/>
    <xf numFmtId="164" fontId="16" fillId="0" borderId="9" xfId="0" applyNumberFormat="1" applyFont="1" applyBorder="1"/>
    <xf numFmtId="164" fontId="0" fillId="0" borderId="9" xfId="0" applyNumberFormat="1" applyBorder="1"/>
    <xf numFmtId="10" fontId="16" fillId="0" borderId="9" xfId="0" applyNumberFormat="1" applyFont="1" applyBorder="1" applyAlignment="1">
      <alignment horizontal="left" vertical="top"/>
    </xf>
    <xf numFmtId="0" fontId="0" fillId="0" borderId="0" xfId="0"/>
    <xf numFmtId="0" fontId="0" fillId="0" borderId="11" xfId="0" applyBorder="1"/>
    <xf numFmtId="0" fontId="18" fillId="0" borderId="11" xfId="0" applyFont="1" applyBorder="1" applyAlignment="1">
      <alignment horizontal="right"/>
    </xf>
    <xf numFmtId="1" fontId="18" fillId="0" borderId="11" xfId="0" applyNumberFormat="1" applyFont="1" applyBorder="1" applyAlignment="1">
      <alignment horizontal="right"/>
    </xf>
    <xf numFmtId="0" fontId="18" fillId="0" borderId="11" xfId="0" applyFont="1" applyBorder="1"/>
    <xf numFmtId="0" fontId="17" fillId="0" borderId="11" xfId="0" applyFont="1" applyBorder="1" applyAlignment="1">
      <alignment horizontal="right"/>
    </xf>
    <xf numFmtId="1" fontId="0" fillId="0" borderId="0" xfId="0" applyNumberFormat="1" applyBorder="1" applyAlignment="1">
      <alignment horizontal="right" vertical="center"/>
    </xf>
    <xf numFmtId="0" fontId="0" fillId="0" borderId="0" xfId="0" applyBorder="1" applyAlignment="1">
      <alignment horizontal="center" vertical="center"/>
    </xf>
    <xf numFmtId="0" fontId="17" fillId="0" borderId="0" xfId="0" applyFont="1" applyFill="1" applyBorder="1" applyAlignment="1">
      <alignment horizontal="center"/>
    </xf>
    <xf numFmtId="0" fontId="0" fillId="0" borderId="0" xfId="0" applyBorder="1" applyAlignment="1">
      <alignment horizontal="right"/>
    </xf>
    <xf numFmtId="1" fontId="0" fillId="0" borderId="0" xfId="0" applyNumberFormat="1" applyBorder="1" applyAlignment="1">
      <alignment horizontal="right"/>
    </xf>
    <xf numFmtId="0" fontId="19" fillId="0" borderId="0" xfId="0" applyFont="1"/>
    <xf numFmtId="0" fontId="5" fillId="5" borderId="3" xfId="1" applyFill="1" applyBorder="1" applyAlignment="1" applyProtection="1">
      <alignment horizontal="center" vertical="center"/>
    </xf>
    <xf numFmtId="0" fontId="17" fillId="0" borderId="0" xfId="0" applyFont="1" applyBorder="1" applyAlignment="1">
      <alignment horizontal="right"/>
    </xf>
    <xf numFmtId="0" fontId="0" fillId="0" borderId="0" xfId="0"/>
    <xf numFmtId="0" fontId="0" fillId="0" borderId="0" xfId="0" applyAlignment="1">
      <alignment horizontal="center" vertical="center"/>
    </xf>
    <xf numFmtId="0" fontId="20" fillId="0" borderId="0" xfId="0" applyFont="1"/>
    <xf numFmtId="0" fontId="20" fillId="0" borderId="12" xfId="0" applyFont="1" applyBorder="1"/>
    <xf numFmtId="0" fontId="21" fillId="0" borderId="12" xfId="0" applyFont="1" applyBorder="1" applyAlignment="1">
      <alignment horizontal="center" vertical="center"/>
    </xf>
    <xf numFmtId="0" fontId="17" fillId="16" borderId="12" xfId="0" applyFont="1" applyFill="1" applyBorder="1" applyAlignment="1">
      <alignment horizontal="center" vertical="center"/>
    </xf>
    <xf numFmtId="0" fontId="20" fillId="0" borderId="2" xfId="0" applyFont="1" applyBorder="1"/>
    <xf numFmtId="164" fontId="0" fillId="0" borderId="0" xfId="0" applyNumberFormat="1" applyBorder="1" applyAlignment="1">
      <alignment horizontal="left" vertical="top"/>
    </xf>
    <xf numFmtId="0" fontId="0" fillId="0" borderId="0" xfId="0" applyBorder="1" applyAlignment="1">
      <alignment horizontal="left" vertical="top"/>
    </xf>
    <xf numFmtId="0" fontId="0" fillId="16" borderId="0" xfId="0" applyFill="1" applyBorder="1"/>
    <xf numFmtId="0" fontId="20" fillId="0" borderId="0" xfId="0" applyFont="1" applyBorder="1"/>
    <xf numFmtId="0" fontId="5" fillId="0" borderId="0" xfId="1" applyAlignment="1" applyProtection="1">
      <alignment horizontal="center" vertical="center"/>
    </xf>
    <xf numFmtId="2" fontId="1" fillId="0" borderId="0" xfId="2" applyNumberFormat="1" applyFont="1" applyFill="1" applyBorder="1" applyAlignment="1"/>
    <xf numFmtId="2" fontId="1" fillId="0" borderId="5" xfId="2" applyNumberFormat="1" applyFont="1" applyFill="1" applyBorder="1" applyAlignment="1"/>
    <xf numFmtId="0" fontId="1" fillId="0" borderId="5" xfId="2" applyFont="1" applyFill="1" applyBorder="1" applyAlignment="1"/>
    <xf numFmtId="0" fontId="3" fillId="2" borderId="13" xfId="2" applyFont="1" applyFill="1" applyBorder="1" applyAlignment="1"/>
    <xf numFmtId="2" fontId="1" fillId="0" borderId="9" xfId="2" applyNumberFormat="1" applyFont="1" applyFill="1" applyBorder="1" applyAlignment="1"/>
    <xf numFmtId="0" fontId="0" fillId="17" borderId="0" xfId="0" applyFill="1"/>
    <xf numFmtId="2" fontId="17" fillId="0" borderId="7" xfId="0" applyNumberFormat="1" applyFont="1" applyBorder="1"/>
    <xf numFmtId="0" fontId="17" fillId="0" borderId="8" xfId="0" applyFont="1" applyBorder="1"/>
    <xf numFmtId="0" fontId="5" fillId="2" borderId="3" xfId="1" applyFill="1" applyBorder="1" applyAlignment="1" applyProtection="1">
      <alignment horizontal="center" vertical="center"/>
    </xf>
    <xf numFmtId="0" fontId="0" fillId="0" borderId="10" xfId="0" applyBorder="1" applyAlignment="1">
      <alignment horizontal="center" vertical="center"/>
    </xf>
    <xf numFmtId="0" fontId="20" fillId="0" borderId="10" xfId="0" applyFont="1" applyBorder="1" applyAlignment="1">
      <alignment horizontal="center" vertical="center"/>
    </xf>
    <xf numFmtId="0" fontId="0" fillId="0" borderId="10" xfId="0" applyBorder="1" applyAlignment="1"/>
    <xf numFmtId="0" fontId="20" fillId="0" borderId="10" xfId="0" applyFont="1" applyBorder="1"/>
    <xf numFmtId="164" fontId="16" fillId="0" borderId="10" xfId="0" applyNumberFormat="1" applyFont="1" applyBorder="1" applyProtection="1"/>
    <xf numFmtId="0" fontId="1" fillId="0" borderId="0" xfId="2"/>
    <xf numFmtId="14" fontId="1" fillId="0" borderId="0" xfId="2" applyNumberFormat="1" applyAlignment="1">
      <alignment horizontal="right"/>
    </xf>
    <xf numFmtId="0" fontId="1" fillId="0" borderId="0" xfId="2" applyAlignment="1">
      <alignment horizontal="right"/>
    </xf>
    <xf numFmtId="0" fontId="4" fillId="7" borderId="0" xfId="2" applyFont="1" applyFill="1" applyAlignment="1">
      <alignment vertical="center"/>
    </xf>
    <xf numFmtId="2" fontId="1" fillId="0" borderId="0" xfId="2" applyNumberFormat="1" applyBorder="1"/>
    <xf numFmtId="0" fontId="1" fillId="0" borderId="0" xfId="2" applyBorder="1" applyAlignment="1">
      <alignment horizontal="right"/>
    </xf>
    <xf numFmtId="0" fontId="1" fillId="0" borderId="0" xfId="2" applyFont="1" applyBorder="1"/>
    <xf numFmtId="1" fontId="1" fillId="0" borderId="0" xfId="2" applyNumberFormat="1" applyFont="1" applyBorder="1"/>
    <xf numFmtId="0" fontId="3" fillId="0" borderId="4" xfId="2" applyFont="1" applyBorder="1" applyAlignment="1">
      <alignment horizontal="right"/>
    </xf>
    <xf numFmtId="2" fontId="3" fillId="0" borderId="0" xfId="2" applyNumberFormat="1" applyFont="1" applyBorder="1"/>
    <xf numFmtId="1" fontId="1" fillId="0" borderId="0" xfId="2" applyNumberFormat="1" applyBorder="1"/>
    <xf numFmtId="0" fontId="3" fillId="0" borderId="0" xfId="2" applyFont="1" applyBorder="1"/>
    <xf numFmtId="0" fontId="3" fillId="0" borderId="5" xfId="2" applyFont="1" applyBorder="1"/>
    <xf numFmtId="0" fontId="3" fillId="7" borderId="7" xfId="2" applyFont="1" applyFill="1" applyBorder="1" applyAlignment="1">
      <alignment horizontal="right"/>
    </xf>
    <xf numFmtId="2" fontId="3" fillId="7" borderId="7" xfId="2" applyNumberFormat="1" applyFont="1" applyFill="1" applyBorder="1"/>
    <xf numFmtId="0" fontId="3" fillId="7" borderId="7" xfId="2" applyFont="1" applyFill="1" applyBorder="1"/>
    <xf numFmtId="0" fontId="5" fillId="4" borderId="3" xfId="1" applyFill="1" applyBorder="1" applyAlignment="1" applyProtection="1">
      <alignment horizontal="center" vertical="center"/>
    </xf>
    <xf numFmtId="0" fontId="5" fillId="7" borderId="0" xfId="1" applyFill="1" applyAlignment="1" applyProtection="1">
      <alignment horizontal="center" vertical="center"/>
    </xf>
    <xf numFmtId="9" fontId="2" fillId="0" borderId="0" xfId="2" applyNumberFormat="1" applyFont="1" applyBorder="1"/>
    <xf numFmtId="0" fontId="3" fillId="0" borderId="7" xfId="2" applyFont="1" applyBorder="1"/>
    <xf numFmtId="0" fontId="5" fillId="6" borderId="3" xfId="1" applyFill="1" applyBorder="1" applyAlignment="1" applyProtection="1">
      <alignment horizontal="center" vertical="center"/>
    </xf>
    <xf numFmtId="0" fontId="22" fillId="0" borderId="0" xfId="2" applyFont="1" applyBorder="1" applyAlignment="1">
      <alignment horizontal="right"/>
    </xf>
    <xf numFmtId="0" fontId="20" fillId="0" borderId="14" xfId="0" applyFont="1" applyBorder="1" applyAlignment="1"/>
    <xf numFmtId="0" fontId="20" fillId="0" borderId="12" xfId="0" applyFont="1" applyBorder="1" applyAlignment="1"/>
    <xf numFmtId="0" fontId="20" fillId="0" borderId="15" xfId="0" applyFont="1" applyBorder="1" applyAlignment="1"/>
    <xf numFmtId="0" fontId="20" fillId="0" borderId="16" xfId="0" applyFont="1" applyBorder="1" applyAlignment="1"/>
    <xf numFmtId="0" fontId="23" fillId="0" borderId="0" xfId="0" applyFont="1"/>
    <xf numFmtId="0" fontId="23" fillId="0" borderId="2" xfId="0" applyFont="1" applyBorder="1"/>
    <xf numFmtId="0" fontId="23" fillId="0" borderId="0" xfId="0" applyFont="1" applyBorder="1" applyAlignment="1">
      <alignment horizontal="left" vertical="top"/>
    </xf>
    <xf numFmtId="0" fontId="23" fillId="0" borderId="0" xfId="0" applyFont="1" applyBorder="1"/>
    <xf numFmtId="0" fontId="23" fillId="0" borderId="10" xfId="0" applyFont="1" applyBorder="1"/>
    <xf numFmtId="0" fontId="20" fillId="0" borderId="17" xfId="0" applyFont="1" applyBorder="1" applyAlignment="1"/>
    <xf numFmtId="0" fontId="21" fillId="0" borderId="9" xfId="0" applyFont="1" applyBorder="1" applyAlignment="1">
      <alignment horizontal="center" vertical="center"/>
    </xf>
    <xf numFmtId="0" fontId="5" fillId="0" borderId="0" xfId="1" applyAlignment="1" applyProtection="1">
      <alignment horizontal="left" vertical="top"/>
    </xf>
    <xf numFmtId="164" fontId="0" fillId="0" borderId="0" xfId="0" applyNumberFormat="1"/>
    <xf numFmtId="164" fontId="17" fillId="18" borderId="0" xfId="0" applyNumberFormat="1" applyFont="1" applyFill="1" applyBorder="1" applyAlignment="1">
      <alignment horizontal="left" vertical="center"/>
    </xf>
    <xf numFmtId="0" fontId="0" fillId="18" borderId="0" xfId="0" applyFill="1" applyBorder="1" applyAlignment="1"/>
    <xf numFmtId="0" fontId="0" fillId="0" borderId="0" xfId="0" applyAlignment="1"/>
    <xf numFmtId="0" fontId="0" fillId="0" borderId="9" xfId="0" applyBorder="1" applyAlignment="1">
      <alignment horizontal="right"/>
    </xf>
    <xf numFmtId="164" fontId="17" fillId="0" borderId="0" xfId="0" applyNumberFormat="1" applyFont="1"/>
    <xf numFmtId="0" fontId="17" fillId="0" borderId="0" xfId="0" applyFont="1" applyFill="1" applyBorder="1" applyAlignment="1">
      <alignment horizontal="right"/>
    </xf>
    <xf numFmtId="0" fontId="17" fillId="0" borderId="0" xfId="0" applyFont="1" applyBorder="1"/>
    <xf numFmtId="2" fontId="0" fillId="0" borderId="9" xfId="0" applyNumberFormat="1" applyBorder="1" applyAlignment="1">
      <alignment horizontal="right"/>
    </xf>
    <xf numFmtId="0" fontId="0" fillId="0" borderId="9" xfId="0" applyBorder="1"/>
    <xf numFmtId="2" fontId="24" fillId="18" borderId="0" xfId="0" applyNumberFormat="1" applyFont="1" applyFill="1" applyBorder="1"/>
    <xf numFmtId="0" fontId="17" fillId="0" borderId="0" xfId="0" applyFont="1" applyBorder="1" applyAlignment="1">
      <alignment horizontal="left"/>
    </xf>
    <xf numFmtId="0" fontId="24" fillId="0" borderId="0" xfId="0" applyFont="1" applyBorder="1" applyAlignment="1">
      <alignment horizontal="left"/>
    </xf>
    <xf numFmtId="0" fontId="0" fillId="0" borderId="7" xfId="0" applyBorder="1" applyAlignment="1">
      <alignment horizontal="right"/>
    </xf>
    <xf numFmtId="2" fontId="0" fillId="0" borderId="7" xfId="0" applyNumberFormat="1" applyBorder="1"/>
    <xf numFmtId="164" fontId="0" fillId="0" borderId="7" xfId="0" applyNumberFormat="1" applyBorder="1"/>
    <xf numFmtId="0" fontId="5" fillId="0" borderId="0" xfId="1" applyAlignment="1" applyProtection="1"/>
    <xf numFmtId="0" fontId="5" fillId="0" borderId="2" xfId="1" applyBorder="1" applyAlignment="1" applyProtection="1">
      <alignment horizontal="left" vertical="center"/>
    </xf>
    <xf numFmtId="14" fontId="0" fillId="0" borderId="0" xfId="0" applyNumberFormat="1" applyBorder="1"/>
    <xf numFmtId="0" fontId="5" fillId="0" borderId="0" xfId="1" applyBorder="1" applyAlignment="1" applyProtection="1">
      <alignment horizontal="left" vertical="center"/>
    </xf>
    <xf numFmtId="0" fontId="1" fillId="0" borderId="0" xfId="2" applyFont="1"/>
    <xf numFmtId="0" fontId="1" fillId="19" borderId="0" xfId="2" applyFont="1" applyFill="1" applyAlignment="1">
      <alignment horizontal="center" vertical="center"/>
    </xf>
    <xf numFmtId="0" fontId="1" fillId="0" borderId="9" xfId="2" applyFont="1" applyBorder="1"/>
    <xf numFmtId="2" fontId="11" fillId="0" borderId="9" xfId="2" applyNumberFormat="1" applyFont="1" applyBorder="1" applyAlignment="1">
      <alignment horizontal="center" vertical="center"/>
    </xf>
    <xf numFmtId="0" fontId="11" fillId="0" borderId="9" xfId="2" applyFont="1" applyBorder="1" applyAlignment="1">
      <alignment horizontal="center" vertical="center"/>
    </xf>
    <xf numFmtId="0" fontId="25" fillId="0" borderId="9" xfId="2" applyFont="1" applyFill="1" applyBorder="1" applyAlignment="1" applyProtection="1">
      <alignment horizontal="center" vertical="center"/>
    </xf>
    <xf numFmtId="10" fontId="0" fillId="16" borderId="10" xfId="0" applyNumberFormat="1" applyFill="1" applyBorder="1" applyAlignment="1">
      <alignment horizontal="right"/>
    </xf>
    <xf numFmtId="0" fontId="5" fillId="16" borderId="12" xfId="1" applyFill="1" applyBorder="1" applyAlignment="1" applyProtection="1">
      <alignment horizontal="center" vertical="center"/>
    </xf>
    <xf numFmtId="0" fontId="5" fillId="0" borderId="0" xfId="1" applyAlignment="1" applyProtection="1">
      <alignment vertical="center" wrapText="1"/>
    </xf>
    <xf numFmtId="2" fontId="0" fillId="0" borderId="9" xfId="0" applyNumberFormat="1" applyBorder="1"/>
    <xf numFmtId="0" fontId="0" fillId="0" borderId="9" xfId="0" applyBorder="1" applyAlignment="1">
      <alignment horizontal="left" vertical="top"/>
    </xf>
    <xf numFmtId="0" fontId="0" fillId="0" borderId="18" xfId="0" applyBorder="1"/>
    <xf numFmtId="0" fontId="0" fillId="0" borderId="17" xfId="0" applyBorder="1"/>
    <xf numFmtId="0" fontId="0" fillId="0" borderId="19" xfId="0" applyBorder="1"/>
    <xf numFmtId="0" fontId="0" fillId="0" borderId="20" xfId="0" applyBorder="1"/>
    <xf numFmtId="0" fontId="0" fillId="0" borderId="0" xfId="0" applyBorder="1" applyAlignment="1"/>
    <xf numFmtId="0" fontId="0" fillId="0" borderId="21" xfId="0" applyBorder="1"/>
    <xf numFmtId="0" fontId="0" fillId="0" borderId="20" xfId="0" applyBorder="1" applyAlignment="1">
      <alignment horizontal="center" vertical="center"/>
    </xf>
    <xf numFmtId="0" fontId="17" fillId="0" borderId="0" xfId="0" applyFont="1" applyFill="1" applyBorder="1"/>
    <xf numFmtId="2" fontId="17" fillId="0" borderId="0" xfId="0" applyNumberFormat="1" applyFont="1" applyFill="1" applyBorder="1"/>
    <xf numFmtId="0" fontId="17" fillId="0" borderId="0" xfId="0" applyFont="1" applyFill="1" applyBorder="1" applyAlignment="1">
      <alignment horizontal="left" vertical="top"/>
    </xf>
    <xf numFmtId="0" fontId="0" fillId="0" borderId="21" xfId="0" applyFill="1" applyBorder="1"/>
    <xf numFmtId="0" fontId="0" fillId="0" borderId="0" xfId="0" applyBorder="1" applyAlignment="1">
      <alignment horizontal="center"/>
    </xf>
    <xf numFmtId="0" fontId="0" fillId="0" borderId="22" xfId="0" applyBorder="1"/>
    <xf numFmtId="0" fontId="0" fillId="0" borderId="9" xfId="0" applyBorder="1" applyAlignment="1">
      <alignment horizontal="left" vertical="top" wrapText="1"/>
    </xf>
    <xf numFmtId="0" fontId="0" fillId="0" borderId="23" xfId="0" applyBorder="1"/>
    <xf numFmtId="0" fontId="0" fillId="0" borderId="17" xfId="0" applyBorder="1" applyAlignment="1">
      <alignment horizontal="left" vertical="top" wrapText="1"/>
    </xf>
    <xf numFmtId="2" fontId="0" fillId="0" borderId="0" xfId="0" applyNumberFormat="1" applyBorder="1"/>
    <xf numFmtId="0" fontId="24" fillId="0" borderId="9" xfId="0" applyFont="1" applyBorder="1" applyAlignment="1">
      <alignment horizontal="left"/>
    </xf>
    <xf numFmtId="0" fontId="24" fillId="15" borderId="0" xfId="0" applyFont="1" applyFill="1" applyAlignment="1">
      <alignment horizontal="left"/>
    </xf>
    <xf numFmtId="2" fontId="0" fillId="15" borderId="0" xfId="0" applyNumberFormat="1" applyFill="1" applyAlignment="1">
      <alignment horizontal="right" vertical="center" wrapText="1"/>
    </xf>
    <xf numFmtId="0" fontId="0" fillId="15" borderId="0" xfId="0" applyFill="1" applyAlignment="1">
      <alignment horizontal="left" vertical="top" wrapText="1"/>
    </xf>
    <xf numFmtId="0" fontId="5" fillId="15" borderId="0" xfId="1" applyFill="1" applyAlignment="1" applyProtection="1"/>
    <xf numFmtId="0" fontId="1" fillId="0" borderId="7" xfId="0" applyFont="1" applyBorder="1"/>
    <xf numFmtId="2" fontId="17" fillId="0" borderId="11" xfId="0" applyNumberFormat="1" applyFont="1" applyBorder="1"/>
    <xf numFmtId="0" fontId="17" fillId="0" borderId="11" xfId="0" applyFont="1" applyFill="1" applyBorder="1"/>
    <xf numFmtId="0" fontId="20" fillId="0" borderId="0" xfId="0" applyFont="1" applyBorder="1" applyAlignment="1">
      <alignment horizontal="left" vertical="top"/>
    </xf>
    <xf numFmtId="2" fontId="20" fillId="0" borderId="0" xfId="0" applyNumberFormat="1" applyFont="1" applyBorder="1"/>
    <xf numFmtId="0" fontId="20" fillId="0" borderId="0" xfId="0" applyFont="1" applyFill="1" applyBorder="1"/>
    <xf numFmtId="0" fontId="16" fillId="0" borderId="0" xfId="0" applyFont="1" applyBorder="1" applyAlignment="1">
      <alignment vertical="top"/>
    </xf>
    <xf numFmtId="0" fontId="16" fillId="0" borderId="0" xfId="0" applyFont="1" applyBorder="1"/>
    <xf numFmtId="0" fontId="3" fillId="0" borderId="0" xfId="2" applyFont="1" applyBorder="1" applyAlignment="1">
      <alignment horizontal="left" vertical="top"/>
    </xf>
    <xf numFmtId="2" fontId="3" fillId="0" borderId="0" xfId="2" applyNumberFormat="1" applyFont="1" applyFill="1" applyBorder="1" applyAlignment="1"/>
    <xf numFmtId="0" fontId="5" fillId="0" borderId="5" xfId="1" applyBorder="1" applyAlignment="1" applyProtection="1">
      <alignment horizontal="right"/>
    </xf>
    <xf numFmtId="0" fontId="0" fillId="18" borderId="0" xfId="0" applyFill="1"/>
    <xf numFmtId="0" fontId="0" fillId="0" borderId="0" xfId="0" applyAlignment="1">
      <alignment horizontal="left" vertical="top"/>
    </xf>
    <xf numFmtId="0" fontId="0" fillId="0" borderId="0" xfId="0" applyFont="1" applyFill="1" applyBorder="1"/>
    <xf numFmtId="0" fontId="0" fillId="0" borderId="0" xfId="0" applyFont="1" applyFill="1" applyBorder="1" applyAlignment="1">
      <alignment horizontal="right"/>
    </xf>
    <xf numFmtId="2" fontId="0" fillId="0" borderId="0" xfId="0" applyNumberFormat="1" applyFont="1" applyFill="1" applyBorder="1"/>
    <xf numFmtId="0" fontId="0" fillId="0" borderId="0" xfId="0" applyFont="1" applyFill="1" applyBorder="1" applyAlignment="1">
      <alignment horizontal="left" vertical="top"/>
    </xf>
    <xf numFmtId="2" fontId="0" fillId="0" borderId="9" xfId="0" applyNumberFormat="1" applyFont="1" applyFill="1" applyBorder="1"/>
    <xf numFmtId="0" fontId="0" fillId="0" borderId="9" xfId="0" applyFont="1" applyFill="1" applyBorder="1" applyAlignment="1">
      <alignment horizontal="left" vertical="top"/>
    </xf>
    <xf numFmtId="0" fontId="0" fillId="18" borderId="1" xfId="0" applyFill="1" applyBorder="1"/>
    <xf numFmtId="0" fontId="0" fillId="18" borderId="2" xfId="0" applyFill="1" applyBorder="1"/>
    <xf numFmtId="0" fontId="0" fillId="18" borderId="3" xfId="0" applyFill="1" applyBorder="1"/>
    <xf numFmtId="0" fontId="0" fillId="18" borderId="4" xfId="0" applyFill="1" applyBorder="1"/>
    <xf numFmtId="0" fontId="0" fillId="18" borderId="0" xfId="0" applyFill="1" applyBorder="1"/>
    <xf numFmtId="0" fontId="0" fillId="18" borderId="5" xfId="0" applyFill="1" applyBorder="1"/>
    <xf numFmtId="0" fontId="0" fillId="18" borderId="6" xfId="0" applyFill="1" applyBorder="1"/>
    <xf numFmtId="0" fontId="0" fillId="18" borderId="7" xfId="0" applyFill="1" applyBorder="1"/>
    <xf numFmtId="0" fontId="0" fillId="18" borderId="8" xfId="0" applyFill="1" applyBorder="1"/>
    <xf numFmtId="0" fontId="0" fillId="0" borderId="0" xfId="0" applyFont="1" applyBorder="1" applyAlignment="1">
      <alignment horizontal="left" vertical="top"/>
    </xf>
    <xf numFmtId="0" fontId="0" fillId="0" borderId="0" xfId="0" applyBorder="1" applyAlignment="1">
      <alignment horizontal="left" vertical="top"/>
    </xf>
    <xf numFmtId="0" fontId="0" fillId="16" borderId="0" xfId="0" applyFill="1"/>
    <xf numFmtId="0" fontId="0" fillId="18" borderId="0" xfId="0" applyFill="1" applyBorder="1" applyAlignment="1">
      <alignment horizontal="right"/>
    </xf>
    <xf numFmtId="0" fontId="16" fillId="18" borderId="0" xfId="0" applyFont="1" applyFill="1" applyBorder="1" applyAlignment="1">
      <alignment horizontal="center" vertical="center"/>
    </xf>
    <xf numFmtId="0" fontId="5" fillId="16" borderId="0" xfId="1" applyFill="1" applyAlignment="1" applyProtection="1"/>
    <xf numFmtId="0" fontId="20" fillId="0" borderId="0" xfId="0" applyFont="1" applyBorder="1" applyAlignment="1">
      <alignment horizontal="center" vertical="center"/>
    </xf>
    <xf numFmtId="0" fontId="0" fillId="0" borderId="0" xfId="0" applyFill="1" applyBorder="1" applyAlignment="1">
      <alignment horizontal="center" vertical="center"/>
    </xf>
    <xf numFmtId="0" fontId="20" fillId="0" borderId="0" xfId="0" applyFont="1" applyFill="1" applyBorder="1" applyAlignment="1">
      <alignment horizontal="center" vertical="center"/>
    </xf>
    <xf numFmtId="0" fontId="0" fillId="0" borderId="0" xfId="0" applyFill="1" applyBorder="1" applyAlignment="1"/>
    <xf numFmtId="164" fontId="16" fillId="0" borderId="0" xfId="0" applyNumberFormat="1" applyFont="1" applyFill="1" applyBorder="1"/>
    <xf numFmtId="0" fontId="23" fillId="0" borderId="0" xfId="0" applyFont="1" applyFill="1" applyBorder="1"/>
    <xf numFmtId="164" fontId="0" fillId="0" borderId="0" xfId="0" applyNumberFormat="1" applyFill="1" applyBorder="1"/>
    <xf numFmtId="10" fontId="0" fillId="0" borderId="0" xfId="0" applyNumberFormat="1" applyFill="1" applyBorder="1" applyAlignment="1">
      <alignment horizontal="right"/>
    </xf>
    <xf numFmtId="0" fontId="0" fillId="0" borderId="24" xfId="0" applyBorder="1" applyAlignment="1">
      <alignment horizontal="center" vertical="center"/>
    </xf>
    <xf numFmtId="0" fontId="20" fillId="0" borderId="24" xfId="0" applyFont="1" applyBorder="1" applyAlignment="1">
      <alignment horizontal="center" vertical="center"/>
    </xf>
    <xf numFmtId="0" fontId="0" fillId="0" borderId="24" xfId="0" applyBorder="1" applyAlignment="1"/>
    <xf numFmtId="0" fontId="20" fillId="0" borderId="24" xfId="0" applyFont="1" applyBorder="1"/>
    <xf numFmtId="0" fontId="23" fillId="0" borderId="24" xfId="0" applyFont="1" applyBorder="1"/>
    <xf numFmtId="1" fontId="0" fillId="0" borderId="0" xfId="0" applyNumberFormat="1" applyBorder="1" applyAlignment="1">
      <alignment horizontal="left" vertical="center"/>
    </xf>
    <xf numFmtId="164" fontId="16" fillId="0" borderId="0" xfId="0" applyNumberFormat="1" applyFont="1"/>
    <xf numFmtId="0" fontId="0" fillId="0" borderId="0" xfId="0" applyAlignment="1">
      <alignment horizontal="right"/>
    </xf>
    <xf numFmtId="18" fontId="16" fillId="0" borderId="0" xfId="0" applyNumberFormat="1" applyFont="1" applyAlignment="1">
      <alignment horizontal="center" vertical="center"/>
    </xf>
    <xf numFmtId="164" fontId="16" fillId="0" borderId="0" xfId="0" applyNumberFormat="1" applyFont="1" applyAlignment="1">
      <alignment horizontal="center" vertical="center"/>
    </xf>
    <xf numFmtId="18" fontId="16" fillId="0" borderId="9" xfId="0" applyNumberFormat="1" applyFont="1" applyBorder="1" applyAlignment="1">
      <alignment horizontal="center" vertical="center"/>
    </xf>
    <xf numFmtId="0" fontId="16" fillId="0" borderId="9" xfId="0" applyFont="1" applyBorder="1" applyAlignment="1">
      <alignment horizontal="center" vertical="center"/>
    </xf>
    <xf numFmtId="0" fontId="17" fillId="16" borderId="12" xfId="0" applyFont="1" applyFill="1" applyBorder="1" applyAlignment="1">
      <alignment horizontal="center" vertical="center" wrapText="1"/>
    </xf>
    <xf numFmtId="2" fontId="0" fillId="0" borderId="9" xfId="0" applyNumberFormat="1" applyBorder="1" applyAlignment="1">
      <alignment horizontal="center" vertical="center"/>
    </xf>
    <xf numFmtId="0" fontId="17" fillId="17" borderId="12" xfId="0" applyFont="1" applyFill="1" applyBorder="1" applyAlignment="1">
      <alignment horizontal="center" vertical="center" wrapText="1"/>
    </xf>
    <xf numFmtId="2" fontId="17" fillId="0" borderId="0" xfId="0" applyNumberFormat="1" applyFont="1" applyAlignment="1">
      <alignment horizontal="center" vertical="center"/>
    </xf>
    <xf numFmtId="2" fontId="17" fillId="0" borderId="9" xfId="0" applyNumberFormat="1" applyFont="1" applyBorder="1" applyAlignment="1">
      <alignment horizontal="center" vertical="center"/>
    </xf>
    <xf numFmtId="0" fontId="17" fillId="0" borderId="0" xfId="0" applyFont="1" applyAlignment="1">
      <alignment horizontal="right" vertical="center"/>
    </xf>
    <xf numFmtId="0" fontId="0" fillId="0" borderId="12" xfId="0" applyBorder="1" applyAlignment="1">
      <alignment horizontal="center"/>
    </xf>
    <xf numFmtId="18" fontId="16" fillId="0" borderId="12" xfId="0" applyNumberFormat="1" applyFont="1" applyBorder="1" applyAlignment="1">
      <alignment horizontal="center" vertical="center"/>
    </xf>
    <xf numFmtId="0" fontId="0" fillId="18" borderId="7" xfId="0" applyFill="1" applyBorder="1" applyAlignment="1">
      <alignment horizontal="right"/>
    </xf>
    <xf numFmtId="0" fontId="0" fillId="18" borderId="9" xfId="0" applyFill="1" applyBorder="1"/>
    <xf numFmtId="0" fontId="16" fillId="0" borderId="9" xfId="0" applyFont="1" applyFill="1" applyBorder="1" applyAlignment="1">
      <alignment horizontal="center" vertical="center"/>
    </xf>
    <xf numFmtId="18" fontId="16" fillId="0" borderId="9" xfId="0" applyNumberFormat="1" applyFont="1" applyFill="1" applyBorder="1" applyAlignment="1">
      <alignment horizontal="center" vertical="center"/>
    </xf>
    <xf numFmtId="2" fontId="0" fillId="0" borderId="9" xfId="0" applyNumberFormat="1" applyFill="1" applyBorder="1" applyAlignment="1">
      <alignment horizontal="center" vertical="center"/>
    </xf>
    <xf numFmtId="2" fontId="17" fillId="0" borderId="9" xfId="0" applyNumberFormat="1" applyFont="1" applyFill="1" applyBorder="1" applyAlignment="1">
      <alignment horizontal="center" vertical="center"/>
    </xf>
    <xf numFmtId="10" fontId="16" fillId="0" borderId="0" xfId="0" applyNumberFormat="1" applyFont="1"/>
    <xf numFmtId="0" fontId="17" fillId="16" borderId="15" xfId="0" applyFont="1" applyFill="1" applyBorder="1" applyAlignment="1">
      <alignment horizontal="center" vertical="center" wrapText="1"/>
    </xf>
    <xf numFmtId="0" fontId="0" fillId="0" borderId="12" xfId="0" applyBorder="1"/>
    <xf numFmtId="0" fontId="0" fillId="0" borderId="12" xfId="0" applyFill="1" applyBorder="1"/>
    <xf numFmtId="0" fontId="16" fillId="0" borderId="12" xfId="0" applyFont="1" applyBorder="1" applyAlignment="1">
      <alignment horizontal="center" vertical="center"/>
    </xf>
    <xf numFmtId="0" fontId="0" fillId="0" borderId="12" xfId="0" applyBorder="1" applyAlignment="1">
      <alignment horizontal="center" vertical="center"/>
    </xf>
    <xf numFmtId="164" fontId="0" fillId="18" borderId="12" xfId="0" applyNumberFormat="1" applyFont="1" applyFill="1" applyBorder="1" applyAlignment="1">
      <alignment horizontal="right" wrapText="1"/>
    </xf>
    <xf numFmtId="0" fontId="26" fillId="0" borderId="11" xfId="0" applyFont="1" applyBorder="1"/>
    <xf numFmtId="0" fontId="26" fillId="0" borderId="11" xfId="0" applyFont="1" applyBorder="1" applyAlignment="1">
      <alignment horizontal="right"/>
    </xf>
    <xf numFmtId="2" fontId="26" fillId="0" borderId="11" xfId="0" applyNumberFormat="1" applyFont="1" applyBorder="1" applyAlignment="1">
      <alignment horizontal="center" vertical="center"/>
    </xf>
    <xf numFmtId="164" fontId="16" fillId="0" borderId="0" xfId="0" applyNumberFormat="1" applyFont="1" applyBorder="1" applyAlignment="1">
      <alignment horizontal="center" vertical="center"/>
    </xf>
    <xf numFmtId="18" fontId="16" fillId="0" borderId="0" xfId="0" applyNumberFormat="1" applyFont="1" applyBorder="1" applyAlignment="1">
      <alignment horizontal="center" vertical="center"/>
    </xf>
    <xf numFmtId="0" fontId="17" fillId="18" borderId="9" xfId="0" applyFont="1" applyFill="1" applyBorder="1"/>
    <xf numFmtId="0" fontId="16" fillId="18" borderId="0" xfId="0" applyFont="1" applyFill="1" applyBorder="1"/>
    <xf numFmtId="0" fontId="17" fillId="18" borderId="0" xfId="0" applyFont="1" applyFill="1" applyBorder="1" applyAlignment="1">
      <alignment horizontal="left"/>
    </xf>
    <xf numFmtId="0" fontId="17" fillId="18" borderId="0" xfId="0" applyFont="1" applyFill="1" applyBorder="1"/>
    <xf numFmtId="164" fontId="0" fillId="18" borderId="0" xfId="0" applyNumberFormat="1" applyFill="1" applyBorder="1"/>
    <xf numFmtId="0" fontId="24" fillId="18" borderId="0" xfId="0" applyFont="1" applyFill="1" applyBorder="1" applyAlignment="1">
      <alignment horizontal="left"/>
    </xf>
    <xf numFmtId="0" fontId="17" fillId="18" borderId="0" xfId="0" applyFont="1" applyFill="1" applyBorder="1" applyAlignment="1">
      <alignment horizontal="right"/>
    </xf>
    <xf numFmtId="164" fontId="17" fillId="18" borderId="0" xfId="0" applyNumberFormat="1" applyFont="1" applyFill="1" applyBorder="1"/>
    <xf numFmtId="0" fontId="0" fillId="15" borderId="0" xfId="0" applyFill="1" applyAlignment="1"/>
    <xf numFmtId="2" fontId="0" fillId="18" borderId="0" xfId="0" applyNumberFormat="1" applyFill="1" applyBorder="1"/>
    <xf numFmtId="0" fontId="17" fillId="18" borderId="11" xfId="0" applyFont="1" applyFill="1" applyBorder="1"/>
    <xf numFmtId="0" fontId="0" fillId="18" borderId="11" xfId="0" applyFill="1" applyBorder="1"/>
    <xf numFmtId="0" fontId="17" fillId="18" borderId="9" xfId="0" applyFont="1" applyFill="1" applyBorder="1" applyAlignment="1">
      <alignment horizontal="left"/>
    </xf>
    <xf numFmtId="0" fontId="0" fillId="18" borderId="11" xfId="0" applyFill="1" applyBorder="1" applyAlignment="1">
      <alignment horizontal="right"/>
    </xf>
    <xf numFmtId="2" fontId="0" fillId="18" borderId="11" xfId="0" applyNumberFormat="1" applyFill="1" applyBorder="1" applyAlignment="1">
      <alignment horizontal="right"/>
    </xf>
    <xf numFmtId="164" fontId="0" fillId="18" borderId="11" xfId="0" applyNumberFormat="1" applyFill="1" applyBorder="1"/>
    <xf numFmtId="165" fontId="16" fillId="0" borderId="9" xfId="0" applyNumberFormat="1" applyFont="1" applyBorder="1" applyAlignment="1">
      <alignment horizontal="center" vertical="center"/>
    </xf>
    <xf numFmtId="165" fontId="16" fillId="0" borderId="9" xfId="0" applyNumberFormat="1" applyFont="1" applyFill="1" applyBorder="1" applyAlignment="1">
      <alignment horizontal="center" vertical="center"/>
    </xf>
    <xf numFmtId="2" fontId="0" fillId="0" borderId="0" xfId="0" applyNumberFormat="1"/>
    <xf numFmtId="0" fontId="1" fillId="0" borderId="1" xfId="2" applyBorder="1" applyAlignment="1">
      <alignment horizontal="left" vertical="top"/>
    </xf>
    <xf numFmtId="2" fontId="16" fillId="0" borderId="0" xfId="0" applyNumberFormat="1" applyFont="1"/>
    <xf numFmtId="0" fontId="27" fillId="15" borderId="0" xfId="0" applyFont="1" applyFill="1"/>
    <xf numFmtId="0" fontId="5" fillId="18" borderId="3" xfId="1" applyFill="1" applyBorder="1" applyAlignment="1" applyProtection="1">
      <alignment vertical="top"/>
    </xf>
    <xf numFmtId="0" fontId="5" fillId="18" borderId="5" xfId="1" applyFill="1" applyBorder="1" applyAlignment="1" applyProtection="1">
      <alignment vertical="top"/>
    </xf>
    <xf numFmtId="0" fontId="5" fillId="18" borderId="8" xfId="1" applyFill="1" applyBorder="1" applyAlignment="1" applyProtection="1">
      <alignment vertical="top"/>
    </xf>
    <xf numFmtId="14" fontId="5" fillId="0" borderId="0" xfId="1" applyNumberFormat="1" applyBorder="1" applyAlignment="1" applyProtection="1">
      <alignment horizontal="right"/>
    </xf>
    <xf numFmtId="0" fontId="0" fillId="0" borderId="0" xfId="0" applyBorder="1" applyAlignment="1">
      <alignment horizontal="right"/>
    </xf>
    <xf numFmtId="0" fontId="28" fillId="0" borderId="10" xfId="0" applyFont="1" applyBorder="1"/>
    <xf numFmtId="0" fontId="17" fillId="0" borderId="0" xfId="0" applyFont="1" applyAlignment="1">
      <alignment horizontal="right"/>
    </xf>
    <xf numFmtId="0" fontId="17" fillId="0" borderId="5" xfId="0" applyFont="1" applyBorder="1"/>
    <xf numFmtId="0" fontId="17" fillId="18" borderId="0" xfId="0" applyFont="1" applyFill="1" applyBorder="1" applyAlignment="1">
      <alignment horizontal="center"/>
    </xf>
    <xf numFmtId="0" fontId="17" fillId="0" borderId="0" xfId="0" applyFont="1" applyBorder="1" applyAlignment="1">
      <alignment wrapText="1"/>
    </xf>
    <xf numFmtId="10" fontId="17" fillId="18" borderId="0" xfId="0" applyNumberFormat="1" applyFont="1" applyFill="1" applyBorder="1" applyAlignment="1">
      <alignment horizontal="center"/>
    </xf>
    <xf numFmtId="0" fontId="17" fillId="0" borderId="24" xfId="0" applyFont="1" applyBorder="1" applyAlignment="1">
      <alignment horizontal="right"/>
    </xf>
    <xf numFmtId="0" fontId="17" fillId="0" borderId="24" xfId="0" applyFont="1" applyBorder="1"/>
    <xf numFmtId="0" fontId="0" fillId="0" borderId="10" xfId="0" applyBorder="1" applyAlignment="1">
      <alignment horizontal="center"/>
    </xf>
    <xf numFmtId="0" fontId="0" fillId="0" borderId="9" xfId="0" applyBorder="1" applyAlignment="1">
      <alignment horizontal="center" vertical="center"/>
    </xf>
    <xf numFmtId="4" fontId="1" fillId="0" borderId="0" xfId="2" applyNumberFormat="1" applyFont="1" applyBorder="1"/>
    <xf numFmtId="3" fontId="16" fillId="0" borderId="10" xfId="0" applyNumberFormat="1" applyFont="1" applyBorder="1" applyAlignment="1">
      <alignment horizontal="left"/>
    </xf>
    <xf numFmtId="166" fontId="16" fillId="0" borderId="10" xfId="0" applyNumberFormat="1" applyFont="1" applyBorder="1"/>
    <xf numFmtId="166" fontId="16" fillId="0" borderId="10" xfId="0" applyNumberFormat="1" applyFont="1" applyBorder="1" applyProtection="1"/>
    <xf numFmtId="167" fontId="0" fillId="0" borderId="10" xfId="0" applyNumberFormat="1" applyBorder="1"/>
    <xf numFmtId="167" fontId="16" fillId="0" borderId="10" xfId="0" applyNumberFormat="1" applyFont="1" applyBorder="1"/>
    <xf numFmtId="167" fontId="0" fillId="16" borderId="10" xfId="0" applyNumberFormat="1" applyFill="1" applyBorder="1"/>
    <xf numFmtId="167" fontId="0" fillId="0" borderId="24" xfId="0" applyNumberFormat="1" applyBorder="1"/>
    <xf numFmtId="167" fontId="0" fillId="16" borderId="24" xfId="0" applyNumberFormat="1" applyFill="1" applyBorder="1"/>
    <xf numFmtId="166" fontId="0" fillId="16" borderId="0" xfId="0" applyNumberFormat="1" applyFill="1" applyBorder="1"/>
    <xf numFmtId="166" fontId="16" fillId="16" borderId="9" xfId="0" applyNumberFormat="1" applyFont="1" applyFill="1" applyBorder="1"/>
    <xf numFmtId="166" fontId="17" fillId="16" borderId="0" xfId="0" applyNumberFormat="1" applyFont="1" applyFill="1" applyBorder="1"/>
    <xf numFmtId="166" fontId="0" fillId="0" borderId="10" xfId="0" applyNumberFormat="1" applyBorder="1" applyAlignment="1">
      <alignment horizontal="right" vertical="center"/>
    </xf>
    <xf numFmtId="166" fontId="0" fillId="0" borderId="9" xfId="0" applyNumberFormat="1" applyBorder="1"/>
    <xf numFmtId="166" fontId="17" fillId="0" borderId="11" xfId="0" applyNumberFormat="1" applyFont="1" applyBorder="1"/>
    <xf numFmtId="168" fontId="16" fillId="0" borderId="10" xfId="0" applyNumberFormat="1" applyFont="1" applyBorder="1"/>
    <xf numFmtId="168" fontId="17" fillId="0" borderId="0" xfId="0" applyNumberFormat="1" applyFont="1" applyBorder="1"/>
    <xf numFmtId="168" fontId="0" fillId="0" borderId="9" xfId="0" applyNumberFormat="1" applyBorder="1"/>
    <xf numFmtId="168" fontId="0" fillId="0" borderId="10" xfId="0" applyNumberFormat="1" applyBorder="1"/>
    <xf numFmtId="168" fontId="17" fillId="0" borderId="24" xfId="0" applyNumberFormat="1" applyFont="1" applyBorder="1"/>
    <xf numFmtId="168" fontId="17" fillId="0" borderId="11" xfId="0" applyNumberFormat="1" applyFont="1" applyBorder="1"/>
    <xf numFmtId="166" fontId="16" fillId="18" borderId="0" xfId="0" applyNumberFormat="1" applyFont="1" applyFill="1" applyBorder="1" applyAlignment="1">
      <alignment horizontal="center" vertical="center"/>
    </xf>
    <xf numFmtId="166" fontId="0" fillId="18" borderId="0" xfId="0" applyNumberFormat="1" applyFill="1" applyBorder="1" applyAlignment="1">
      <alignment horizontal="center" vertical="center"/>
    </xf>
    <xf numFmtId="166" fontId="0" fillId="18" borderId="7" xfId="0" applyNumberFormat="1" applyFill="1" applyBorder="1" applyAlignment="1">
      <alignment horizontal="center" vertical="center"/>
    </xf>
    <xf numFmtId="0" fontId="12" fillId="18" borderId="1" xfId="1" applyFont="1" applyFill="1" applyBorder="1" applyAlignment="1" applyProtection="1">
      <alignment horizontal="center" vertical="center"/>
    </xf>
    <xf numFmtId="0" fontId="12" fillId="18" borderId="2" xfId="1" applyFont="1" applyFill="1" applyBorder="1" applyAlignment="1" applyProtection="1">
      <alignment horizontal="center" vertical="center"/>
    </xf>
    <xf numFmtId="0" fontId="12" fillId="18" borderId="3" xfId="1" applyFont="1" applyFill="1" applyBorder="1" applyAlignment="1" applyProtection="1">
      <alignment horizontal="center" vertical="center"/>
    </xf>
    <xf numFmtId="0" fontId="12" fillId="18" borderId="4" xfId="1" applyFont="1" applyFill="1" applyBorder="1" applyAlignment="1" applyProtection="1">
      <alignment horizontal="center" vertical="center"/>
    </xf>
    <xf numFmtId="0" fontId="12" fillId="18" borderId="0" xfId="1" applyFont="1" applyFill="1" applyBorder="1" applyAlignment="1" applyProtection="1">
      <alignment horizontal="center" vertical="center"/>
    </xf>
    <xf numFmtId="0" fontId="12" fillId="18" borderId="5" xfId="1" applyFont="1" applyFill="1" applyBorder="1" applyAlignment="1" applyProtection="1">
      <alignment horizontal="center" vertical="center"/>
    </xf>
    <xf numFmtId="0" fontId="12" fillId="18" borderId="6" xfId="1" applyFont="1" applyFill="1" applyBorder="1" applyAlignment="1" applyProtection="1">
      <alignment horizontal="center" vertical="center"/>
    </xf>
    <xf numFmtId="0" fontId="12" fillId="18" borderId="7" xfId="1" applyFont="1" applyFill="1" applyBorder="1" applyAlignment="1" applyProtection="1">
      <alignment horizontal="center" vertical="center"/>
    </xf>
    <xf numFmtId="0" fontId="12" fillId="18" borderId="8" xfId="1" applyFont="1" applyFill="1" applyBorder="1" applyAlignment="1" applyProtection="1">
      <alignment horizontal="center" vertical="center"/>
    </xf>
    <xf numFmtId="0" fontId="5" fillId="0" borderId="1" xfId="1" applyBorder="1" applyAlignment="1" applyProtection="1">
      <alignment horizontal="center" vertical="center"/>
    </xf>
    <xf numFmtId="0" fontId="5" fillId="0" borderId="2" xfId="1" applyBorder="1" applyAlignment="1" applyProtection="1">
      <alignment horizontal="center" vertical="center"/>
    </xf>
    <xf numFmtId="0" fontId="5" fillId="0" borderId="3" xfId="1" applyBorder="1" applyAlignment="1" applyProtection="1">
      <alignment horizontal="center" vertical="center"/>
    </xf>
    <xf numFmtId="0" fontId="5" fillId="0" borderId="4" xfId="1" applyBorder="1" applyAlignment="1" applyProtection="1">
      <alignment horizontal="center" vertical="center"/>
    </xf>
    <xf numFmtId="0" fontId="5" fillId="0" borderId="0" xfId="1" applyBorder="1" applyAlignment="1" applyProtection="1">
      <alignment horizontal="center" vertical="center"/>
    </xf>
    <xf numFmtId="0" fontId="5" fillId="0" borderId="5" xfId="1" applyBorder="1" applyAlignment="1" applyProtection="1">
      <alignment horizontal="center" vertical="center"/>
    </xf>
    <xf numFmtId="0" fontId="5" fillId="0" borderId="6" xfId="1" applyBorder="1" applyAlignment="1" applyProtection="1">
      <alignment horizontal="center" vertical="center"/>
    </xf>
    <xf numFmtId="0" fontId="5" fillId="0" borderId="7" xfId="1" applyBorder="1" applyAlignment="1" applyProtection="1">
      <alignment horizontal="center" vertical="center"/>
    </xf>
    <xf numFmtId="0" fontId="5" fillId="0" borderId="8" xfId="1" applyBorder="1" applyAlignment="1" applyProtection="1">
      <alignment horizontal="center" vertical="center"/>
    </xf>
    <xf numFmtId="0" fontId="5" fillId="17" borderId="1" xfId="1" applyFill="1" applyBorder="1" applyAlignment="1" applyProtection="1">
      <alignment horizontal="center" vertical="center"/>
    </xf>
    <xf numFmtId="0" fontId="5" fillId="17" borderId="2" xfId="1" applyFill="1" applyBorder="1" applyAlignment="1" applyProtection="1">
      <alignment horizontal="center" vertical="center"/>
    </xf>
    <xf numFmtId="0" fontId="5" fillId="17" borderId="3" xfId="1" applyFill="1" applyBorder="1" applyAlignment="1" applyProtection="1">
      <alignment horizontal="center" vertical="center"/>
    </xf>
    <xf numFmtId="0" fontId="5" fillId="17" borderId="6" xfId="1" applyFill="1" applyBorder="1" applyAlignment="1" applyProtection="1">
      <alignment horizontal="center" vertical="center"/>
    </xf>
    <xf numFmtId="0" fontId="5" fillId="17" borderId="7" xfId="1" applyFill="1" applyBorder="1" applyAlignment="1" applyProtection="1">
      <alignment horizontal="center" vertical="center"/>
    </xf>
    <xf numFmtId="0" fontId="5" fillId="17" borderId="8" xfId="1" applyFill="1" applyBorder="1" applyAlignment="1" applyProtection="1">
      <alignment horizontal="center" vertical="center"/>
    </xf>
    <xf numFmtId="0" fontId="5" fillId="18" borderId="6" xfId="1" applyFill="1" applyBorder="1" applyAlignment="1" applyProtection="1">
      <alignment horizontal="center"/>
    </xf>
    <xf numFmtId="0" fontId="5" fillId="18" borderId="7" xfId="1" applyFill="1" applyBorder="1" applyAlignment="1" applyProtection="1">
      <alignment horizontal="center"/>
    </xf>
    <xf numFmtId="0" fontId="5" fillId="18" borderId="8" xfId="1" applyFill="1" applyBorder="1" applyAlignment="1" applyProtection="1">
      <alignment horizontal="center"/>
    </xf>
    <xf numFmtId="0" fontId="5" fillId="0" borderId="6" xfId="1" applyFill="1" applyBorder="1" applyAlignment="1" applyProtection="1">
      <alignment horizontal="left"/>
    </xf>
    <xf numFmtId="0" fontId="5" fillId="0" borderId="7" xfId="1" applyFill="1" applyBorder="1" applyAlignment="1" applyProtection="1">
      <alignment horizontal="left"/>
    </xf>
    <xf numFmtId="0" fontId="5" fillId="0" borderId="8" xfId="1" applyFill="1" applyBorder="1" applyAlignment="1" applyProtection="1">
      <alignment horizontal="left"/>
    </xf>
    <xf numFmtId="0" fontId="31" fillId="7" borderId="0" xfId="2" applyFont="1" applyFill="1" applyAlignment="1">
      <alignment horizontal="center" vertical="center"/>
    </xf>
    <xf numFmtId="0" fontId="14" fillId="18" borderId="1" xfId="2" applyFont="1" applyFill="1" applyBorder="1" applyAlignment="1">
      <alignment horizontal="center" vertical="top" wrapText="1"/>
    </xf>
    <xf numFmtId="0" fontId="14" fillId="18" borderId="2" xfId="2" applyFont="1" applyFill="1" applyBorder="1" applyAlignment="1">
      <alignment horizontal="center" vertical="top" wrapText="1"/>
    </xf>
    <xf numFmtId="0" fontId="14" fillId="18" borderId="3" xfId="2" applyFont="1" applyFill="1" applyBorder="1" applyAlignment="1">
      <alignment horizontal="center" vertical="top" wrapText="1"/>
    </xf>
    <xf numFmtId="0" fontId="14" fillId="18" borderId="4" xfId="2" applyFont="1" applyFill="1" applyBorder="1" applyAlignment="1">
      <alignment horizontal="center" vertical="top" wrapText="1"/>
    </xf>
    <xf numFmtId="0" fontId="14" fillId="18" borderId="0" xfId="2" applyFont="1" applyFill="1" applyBorder="1" applyAlignment="1">
      <alignment horizontal="center" vertical="top" wrapText="1"/>
    </xf>
    <xf numFmtId="0" fontId="14" fillId="18" borderId="5" xfId="2" applyFont="1" applyFill="1" applyBorder="1" applyAlignment="1">
      <alignment horizontal="center" vertical="top" wrapText="1"/>
    </xf>
    <xf numFmtId="0" fontId="14" fillId="18" borderId="6" xfId="2" applyFont="1" applyFill="1" applyBorder="1" applyAlignment="1">
      <alignment horizontal="center" vertical="top" wrapText="1"/>
    </xf>
    <xf numFmtId="0" fontId="14" fillId="18" borderId="7" xfId="2" applyFont="1" applyFill="1" applyBorder="1" applyAlignment="1">
      <alignment horizontal="center" vertical="top" wrapText="1"/>
    </xf>
    <xf numFmtId="0" fontId="14" fillId="18" borderId="8" xfId="2" applyFont="1" applyFill="1" applyBorder="1" applyAlignment="1">
      <alignment horizontal="center" vertical="top" wrapText="1"/>
    </xf>
    <xf numFmtId="0" fontId="5" fillId="18" borderId="0" xfId="1" applyFill="1" applyBorder="1" applyAlignment="1" applyProtection="1">
      <alignment horizontal="center"/>
    </xf>
    <xf numFmtId="0" fontId="5" fillId="18" borderId="5" xfId="1" applyFill="1" applyBorder="1" applyAlignment="1" applyProtection="1">
      <alignment horizontal="center"/>
    </xf>
    <xf numFmtId="0" fontId="29" fillId="18" borderId="1" xfId="0" applyFont="1" applyFill="1" applyBorder="1" applyAlignment="1">
      <alignment horizontal="center"/>
    </xf>
    <xf numFmtId="0" fontId="29" fillId="18" borderId="2" xfId="0" applyFont="1" applyFill="1" applyBorder="1" applyAlignment="1">
      <alignment horizontal="center"/>
    </xf>
    <xf numFmtId="0" fontId="29" fillId="18" borderId="3" xfId="0" applyFont="1" applyFill="1" applyBorder="1" applyAlignment="1">
      <alignment horizontal="center"/>
    </xf>
    <xf numFmtId="0" fontId="5" fillId="0" borderId="6" xfId="1" applyBorder="1" applyAlignment="1" applyProtection="1">
      <alignment horizontal="center"/>
    </xf>
    <xf numFmtId="0" fontId="5" fillId="0" borderId="7" xfId="1" applyBorder="1" applyAlignment="1" applyProtection="1">
      <alignment horizontal="center"/>
    </xf>
    <xf numFmtId="0" fontId="5" fillId="0" borderId="8" xfId="1" applyBorder="1" applyAlignment="1" applyProtection="1">
      <alignment horizontal="center"/>
    </xf>
    <xf numFmtId="0" fontId="4" fillId="12" borderId="25" xfId="2" applyFont="1" applyFill="1" applyBorder="1" applyAlignment="1">
      <alignment horizontal="center"/>
    </xf>
    <xf numFmtId="0" fontId="4" fillId="12" borderId="26" xfId="2" applyFont="1" applyFill="1" applyBorder="1" applyAlignment="1">
      <alignment horizontal="center"/>
    </xf>
    <xf numFmtId="0" fontId="4" fillId="12" borderId="27" xfId="2" applyFont="1" applyFill="1" applyBorder="1" applyAlignment="1">
      <alignment horizontal="center"/>
    </xf>
    <xf numFmtId="0" fontId="3" fillId="0" borderId="6" xfId="2" applyFont="1" applyFill="1" applyBorder="1" applyAlignment="1">
      <alignment horizontal="left" vertical="top"/>
    </xf>
    <xf numFmtId="0" fontId="3" fillId="0" borderId="7" xfId="2" applyFont="1" applyFill="1" applyBorder="1" applyAlignment="1">
      <alignment horizontal="left" vertical="top"/>
    </xf>
    <xf numFmtId="0" fontId="1" fillId="0" borderId="28" xfId="2" applyFont="1" applyFill="1" applyBorder="1" applyAlignment="1">
      <alignment horizontal="left" vertical="top"/>
    </xf>
    <xf numFmtId="0" fontId="1" fillId="0" borderId="9" xfId="2" applyFont="1" applyFill="1" applyBorder="1" applyAlignment="1">
      <alignment horizontal="left" vertical="top"/>
    </xf>
    <xf numFmtId="0" fontId="1" fillId="0" borderId="4" xfId="2" applyFont="1" applyFill="1" applyBorder="1" applyAlignment="1">
      <alignment horizontal="left" vertical="top"/>
    </xf>
    <xf numFmtId="0" fontId="1" fillId="0" borderId="0" xfId="2" applyFont="1" applyFill="1" applyBorder="1" applyAlignment="1">
      <alignment horizontal="left" vertical="top"/>
    </xf>
    <xf numFmtId="0" fontId="5" fillId="20" borderId="1" xfId="1" applyFill="1" applyBorder="1" applyAlignment="1" applyProtection="1">
      <alignment horizontal="center" vertical="center" wrapText="1"/>
    </xf>
    <xf numFmtId="0" fontId="5" fillId="20" borderId="2" xfId="1" applyFill="1" applyBorder="1" applyAlignment="1" applyProtection="1">
      <alignment horizontal="center" vertical="center"/>
    </xf>
    <xf numFmtId="0" fontId="5" fillId="20" borderId="3" xfId="1" applyFill="1" applyBorder="1" applyAlignment="1" applyProtection="1">
      <alignment horizontal="center" vertical="center"/>
    </xf>
    <xf numFmtId="0" fontId="5" fillId="20" borderId="4" xfId="1" applyFill="1" applyBorder="1" applyAlignment="1" applyProtection="1">
      <alignment horizontal="center" vertical="center"/>
    </xf>
    <xf numFmtId="0" fontId="5" fillId="20" borderId="0" xfId="1" applyFill="1" applyBorder="1" applyAlignment="1" applyProtection="1">
      <alignment horizontal="center" vertical="center"/>
    </xf>
    <xf numFmtId="0" fontId="5" fillId="20" borderId="5" xfId="1" applyFill="1" applyBorder="1" applyAlignment="1" applyProtection="1">
      <alignment horizontal="center" vertical="center"/>
    </xf>
    <xf numFmtId="0" fontId="5" fillId="20" borderId="6" xfId="1" applyFill="1" applyBorder="1" applyAlignment="1" applyProtection="1">
      <alignment horizontal="center" vertical="center"/>
    </xf>
    <xf numFmtId="0" fontId="5" fillId="20" borderId="7" xfId="1" applyFill="1" applyBorder="1" applyAlignment="1" applyProtection="1">
      <alignment horizontal="center" vertical="center"/>
    </xf>
    <xf numFmtId="0" fontId="5" fillId="20" borderId="8" xfId="1" applyFill="1" applyBorder="1" applyAlignment="1" applyProtection="1">
      <alignment horizontal="center" vertical="center"/>
    </xf>
    <xf numFmtId="0" fontId="3" fillId="9" borderId="25" xfId="2" applyFont="1" applyFill="1" applyBorder="1" applyAlignment="1">
      <alignment horizontal="center"/>
    </xf>
    <xf numFmtId="0" fontId="3" fillId="9" borderId="26" xfId="2" applyFont="1" applyFill="1" applyBorder="1" applyAlignment="1">
      <alignment horizontal="center"/>
    </xf>
    <xf numFmtId="0" fontId="3" fillId="9" borderId="27" xfId="2" applyFont="1" applyFill="1" applyBorder="1" applyAlignment="1">
      <alignment horizontal="center"/>
    </xf>
    <xf numFmtId="0" fontId="3" fillId="21" borderId="1" xfId="2" applyFont="1" applyFill="1" applyBorder="1" applyAlignment="1">
      <alignment horizontal="center"/>
    </xf>
    <xf numFmtId="0" fontId="3" fillId="21" borderId="2" xfId="2" applyFont="1" applyFill="1" applyBorder="1" applyAlignment="1">
      <alignment horizontal="center"/>
    </xf>
    <xf numFmtId="0" fontId="3" fillId="21" borderId="3" xfId="2" applyFont="1" applyFill="1" applyBorder="1" applyAlignment="1">
      <alignment horizontal="center"/>
    </xf>
    <xf numFmtId="0" fontId="30" fillId="28" borderId="25" xfId="2" applyFont="1" applyFill="1" applyBorder="1" applyAlignment="1">
      <alignment horizontal="center" vertical="center" wrapText="1"/>
    </xf>
    <xf numFmtId="0" fontId="30" fillId="28" borderId="26" xfId="2" applyFont="1" applyFill="1" applyBorder="1" applyAlignment="1">
      <alignment horizontal="center" vertical="center" wrapText="1"/>
    </xf>
    <xf numFmtId="0" fontId="30" fillId="28" borderId="27" xfId="2" applyFont="1" applyFill="1" applyBorder="1" applyAlignment="1">
      <alignment horizontal="center" vertical="center" wrapText="1"/>
    </xf>
    <xf numFmtId="0" fontId="3" fillId="10" borderId="1" xfId="2" applyFont="1" applyFill="1" applyBorder="1" applyAlignment="1">
      <alignment horizontal="left"/>
    </xf>
    <xf numFmtId="0" fontId="3" fillId="10" borderId="2" xfId="2" applyFont="1" applyFill="1" applyBorder="1" applyAlignment="1">
      <alignment horizontal="left"/>
    </xf>
    <xf numFmtId="0" fontId="3" fillId="10" borderId="3" xfId="2" applyFont="1" applyFill="1" applyBorder="1" applyAlignment="1">
      <alignment horizontal="left"/>
    </xf>
    <xf numFmtId="0" fontId="3" fillId="11" borderId="25" xfId="2" applyFont="1" applyFill="1" applyBorder="1" applyAlignment="1">
      <alignment horizontal="center"/>
    </xf>
    <xf numFmtId="0" fontId="3" fillId="11" borderId="26" xfId="2" applyFont="1" applyFill="1" applyBorder="1" applyAlignment="1">
      <alignment horizontal="center"/>
    </xf>
    <xf numFmtId="0" fontId="3" fillId="11" borderId="27" xfId="2" applyFont="1" applyFill="1" applyBorder="1" applyAlignment="1">
      <alignment horizontal="center"/>
    </xf>
    <xf numFmtId="0" fontId="5" fillId="18" borderId="1" xfId="1" applyFill="1" applyBorder="1" applyAlignment="1" applyProtection="1">
      <alignment horizontal="center" vertical="center" wrapText="1"/>
    </xf>
    <xf numFmtId="0" fontId="5" fillId="18" borderId="2" xfId="1" applyFill="1" applyBorder="1" applyAlignment="1" applyProtection="1">
      <alignment horizontal="center" vertical="center" wrapText="1"/>
    </xf>
    <xf numFmtId="0" fontId="5" fillId="18" borderId="4" xfId="1" applyFill="1" applyBorder="1" applyAlignment="1" applyProtection="1">
      <alignment horizontal="center" vertical="center" wrapText="1"/>
    </xf>
    <xf numFmtId="0" fontId="5" fillId="18" borderId="0" xfId="1" applyFill="1" applyBorder="1" applyAlignment="1" applyProtection="1">
      <alignment horizontal="center" vertical="center" wrapText="1"/>
    </xf>
    <xf numFmtId="0" fontId="5" fillId="18" borderId="6" xfId="1" applyFill="1" applyBorder="1" applyAlignment="1" applyProtection="1">
      <alignment horizontal="center" vertical="center" wrapText="1"/>
    </xf>
    <xf numFmtId="0" fontId="5" fillId="18" borderId="7" xfId="1" applyFill="1" applyBorder="1" applyAlignment="1" applyProtection="1">
      <alignment horizontal="center" vertical="center" wrapText="1"/>
    </xf>
    <xf numFmtId="0" fontId="0" fillId="20" borderId="25" xfId="0" applyFill="1" applyBorder="1" applyAlignment="1">
      <alignment horizontal="center"/>
    </xf>
    <xf numFmtId="0" fontId="0" fillId="20" borderId="26" xfId="0" applyFill="1" applyBorder="1" applyAlignment="1">
      <alignment horizontal="center"/>
    </xf>
    <xf numFmtId="0" fontId="0" fillId="20" borderId="27" xfId="0" applyFill="1" applyBorder="1" applyAlignment="1">
      <alignment horizontal="center"/>
    </xf>
    <xf numFmtId="0" fontId="4" fillId="2" borderId="25" xfId="2" applyFont="1" applyFill="1" applyBorder="1" applyAlignment="1">
      <alignment horizontal="center" vertical="center"/>
    </xf>
    <xf numFmtId="0" fontId="4" fillId="2" borderId="26" xfId="2" applyFont="1" applyFill="1" applyBorder="1" applyAlignment="1">
      <alignment horizontal="center" vertical="center"/>
    </xf>
    <xf numFmtId="0" fontId="4" fillId="2" borderId="27" xfId="2" applyFont="1" applyFill="1" applyBorder="1" applyAlignment="1">
      <alignment horizontal="center" vertical="center"/>
    </xf>
    <xf numFmtId="0" fontId="4" fillId="13" borderId="1" xfId="2" applyFont="1" applyFill="1" applyBorder="1" applyAlignment="1">
      <alignment horizontal="center" vertical="center"/>
    </xf>
    <xf numFmtId="0" fontId="4" fillId="13" borderId="2" xfId="2" applyFont="1" applyFill="1" applyBorder="1" applyAlignment="1">
      <alignment horizontal="center" vertical="center"/>
    </xf>
    <xf numFmtId="0" fontId="4" fillId="13" borderId="3" xfId="2" applyFont="1" applyFill="1" applyBorder="1" applyAlignment="1">
      <alignment horizontal="center" vertical="center"/>
    </xf>
    <xf numFmtId="0" fontId="3" fillId="14" borderId="1" xfId="2" applyFont="1" applyFill="1" applyBorder="1" applyAlignment="1">
      <alignment horizontal="center" vertical="center"/>
    </xf>
    <xf numFmtId="0" fontId="3" fillId="14" borderId="2" xfId="2" applyFont="1" applyFill="1" applyBorder="1" applyAlignment="1">
      <alignment horizontal="center" vertical="center"/>
    </xf>
    <xf numFmtId="0" fontId="3" fillId="14" borderId="3" xfId="2" applyFont="1" applyFill="1" applyBorder="1" applyAlignment="1">
      <alignment horizontal="center" vertical="center"/>
    </xf>
    <xf numFmtId="0" fontId="1" fillId="5" borderId="1" xfId="2" applyFill="1" applyBorder="1" applyAlignment="1">
      <alignment horizontal="center"/>
    </xf>
    <xf numFmtId="0" fontId="1" fillId="5" borderId="2" xfId="2" applyFill="1" applyBorder="1" applyAlignment="1">
      <alignment horizontal="center"/>
    </xf>
    <xf numFmtId="0" fontId="1" fillId="5" borderId="3" xfId="2" applyFill="1" applyBorder="1" applyAlignment="1">
      <alignment horizontal="center"/>
    </xf>
    <xf numFmtId="0" fontId="5" fillId="8" borderId="25" xfId="1" applyFill="1" applyBorder="1" applyAlignment="1" applyProtection="1">
      <alignment horizontal="center"/>
    </xf>
    <xf numFmtId="0" fontId="5" fillId="8" borderId="26" xfId="1" applyFill="1" applyBorder="1" applyAlignment="1" applyProtection="1">
      <alignment horizontal="center"/>
    </xf>
    <xf numFmtId="0" fontId="5" fillId="8" borderId="27" xfId="1" applyFill="1" applyBorder="1" applyAlignment="1" applyProtection="1">
      <alignment horizontal="center"/>
    </xf>
    <xf numFmtId="0" fontId="5" fillId="0" borderId="0" xfId="1" applyAlignment="1" applyProtection="1">
      <alignment horizontal="right"/>
    </xf>
    <xf numFmtId="0" fontId="17" fillId="22" borderId="1" xfId="0" applyFont="1" applyFill="1" applyBorder="1" applyAlignment="1">
      <alignment horizontal="center"/>
    </xf>
    <xf numFmtId="0" fontId="17" fillId="22" borderId="2" xfId="0" applyFont="1" applyFill="1" applyBorder="1" applyAlignment="1">
      <alignment horizontal="center"/>
    </xf>
    <xf numFmtId="0" fontId="17" fillId="22" borderId="3" xfId="0" applyFont="1" applyFill="1" applyBorder="1" applyAlignment="1">
      <alignment horizontal="center"/>
    </xf>
    <xf numFmtId="0" fontId="17" fillId="22" borderId="6" xfId="0" applyFont="1" applyFill="1" applyBorder="1" applyAlignment="1">
      <alignment horizontal="center"/>
    </xf>
    <xf numFmtId="0" fontId="17" fillId="22" borderId="7" xfId="0" applyFont="1" applyFill="1" applyBorder="1" applyAlignment="1">
      <alignment horizontal="center"/>
    </xf>
    <xf numFmtId="0" fontId="17" fillId="22" borderId="8" xfId="0" applyFont="1" applyFill="1" applyBorder="1" applyAlignment="1">
      <alignment horizontal="center"/>
    </xf>
    <xf numFmtId="0" fontId="32" fillId="0" borderId="0" xfId="0" applyFont="1" applyFill="1" applyBorder="1" applyAlignment="1">
      <alignment horizontal="left" vertical="top" wrapText="1"/>
    </xf>
    <xf numFmtId="0" fontId="5" fillId="22" borderId="18" xfId="1" applyFill="1" applyBorder="1" applyAlignment="1" applyProtection="1">
      <alignment horizontal="center" vertical="center"/>
    </xf>
    <xf numFmtId="0" fontId="5" fillId="22" borderId="19" xfId="1" applyFill="1" applyBorder="1" applyAlignment="1" applyProtection="1">
      <alignment horizontal="center" vertical="center"/>
    </xf>
    <xf numFmtId="0" fontId="5" fillId="22" borderId="22" xfId="1" applyFill="1" applyBorder="1" applyAlignment="1" applyProtection="1">
      <alignment horizontal="center" vertical="center"/>
    </xf>
    <xf numFmtId="0" fontId="5" fillId="22" borderId="23" xfId="1" applyFill="1" applyBorder="1" applyAlignment="1" applyProtection="1">
      <alignment horizontal="center" vertical="center"/>
    </xf>
    <xf numFmtId="0" fontId="17" fillId="23" borderId="0" xfId="0" applyFont="1" applyFill="1" applyBorder="1" applyAlignment="1">
      <alignment horizontal="center"/>
    </xf>
    <xf numFmtId="0" fontId="17" fillId="24" borderId="0" xfId="0" applyFont="1" applyFill="1" applyBorder="1" applyAlignment="1">
      <alignment horizontal="center"/>
    </xf>
    <xf numFmtId="0" fontId="17" fillId="0" borderId="9" xfId="0" applyFont="1" applyBorder="1" applyAlignment="1">
      <alignment horizontal="left"/>
    </xf>
    <xf numFmtId="0" fontId="17" fillId="0" borderId="9" xfId="0" applyFont="1" applyBorder="1" applyAlignment="1">
      <alignment horizontal="center" vertical="center"/>
    </xf>
    <xf numFmtId="0" fontId="0" fillId="0" borderId="0" xfId="0" applyBorder="1" applyAlignment="1">
      <alignment horizontal="left"/>
    </xf>
    <xf numFmtId="0" fontId="0" fillId="16" borderId="0" xfId="0" applyFill="1" applyBorder="1" applyAlignment="1">
      <alignment horizontal="left" vertical="top"/>
    </xf>
    <xf numFmtId="0" fontId="0" fillId="16" borderId="9" xfId="0" applyFill="1" applyBorder="1" applyAlignment="1">
      <alignment horizontal="left"/>
    </xf>
    <xf numFmtId="0" fontId="17" fillId="16" borderId="0" xfId="0" applyFont="1" applyFill="1" applyBorder="1" applyAlignment="1">
      <alignment horizontal="left" vertical="top"/>
    </xf>
    <xf numFmtId="167" fontId="0" fillId="0" borderId="0" xfId="0" applyNumberFormat="1" applyBorder="1" applyAlignment="1">
      <alignment horizontal="left" vertical="center"/>
    </xf>
    <xf numFmtId="0" fontId="17" fillId="0" borderId="15" xfId="0" applyFont="1" applyBorder="1" applyAlignment="1">
      <alignment horizontal="center" vertical="center"/>
    </xf>
    <xf numFmtId="0" fontId="17" fillId="0" borderId="16" xfId="0" applyFont="1" applyBorder="1" applyAlignment="1">
      <alignment horizontal="center" vertical="center"/>
    </xf>
    <xf numFmtId="167" fontId="17" fillId="0" borderId="0" xfId="0" applyNumberFormat="1" applyFont="1" applyBorder="1" applyAlignment="1">
      <alignment horizontal="left" vertical="top"/>
    </xf>
    <xf numFmtId="167" fontId="17" fillId="0" borderId="11" xfId="0" applyNumberFormat="1" applyFont="1" applyBorder="1" applyAlignment="1">
      <alignment horizontal="left" vertical="top"/>
    </xf>
    <xf numFmtId="0" fontId="17" fillId="0" borderId="12" xfId="0" applyFont="1" applyBorder="1" applyAlignment="1">
      <alignment horizontal="center" vertical="center"/>
    </xf>
    <xf numFmtId="0" fontId="0" fillId="0" borderId="9" xfId="0" applyFont="1" applyBorder="1" applyAlignment="1">
      <alignment horizontal="left" vertical="top"/>
    </xf>
    <xf numFmtId="0" fontId="17" fillId="16" borderId="12" xfId="0" applyFont="1" applyFill="1" applyBorder="1" applyAlignment="1">
      <alignment horizontal="center"/>
    </xf>
    <xf numFmtId="0" fontId="18" fillId="0" borderId="15" xfId="0" applyFont="1" applyBorder="1" applyAlignment="1">
      <alignment horizontal="center" vertical="center"/>
    </xf>
    <xf numFmtId="0" fontId="18" fillId="0" borderId="16" xfId="0" applyFont="1" applyBorder="1" applyAlignment="1">
      <alignment horizontal="center" vertical="center"/>
    </xf>
    <xf numFmtId="0" fontId="17" fillId="0" borderId="12" xfId="0" applyFont="1" applyBorder="1" applyAlignment="1">
      <alignment horizontal="center" vertical="center" wrapText="1"/>
    </xf>
    <xf numFmtId="166" fontId="0" fillId="0" borderId="0" xfId="0" applyNumberFormat="1" applyBorder="1" applyAlignment="1">
      <alignment horizontal="left" vertical="center"/>
    </xf>
    <xf numFmtId="0" fontId="17" fillId="0" borderId="0" xfId="0" applyFont="1" applyBorder="1" applyAlignment="1">
      <alignment horizontal="left" vertical="top"/>
    </xf>
    <xf numFmtId="0" fontId="17" fillId="0" borderId="11" xfId="0" applyFont="1" applyBorder="1" applyAlignment="1">
      <alignment horizontal="left" vertical="top"/>
    </xf>
    <xf numFmtId="164" fontId="0" fillId="0" borderId="2" xfId="0" applyNumberFormat="1" applyBorder="1" applyAlignment="1">
      <alignment horizontal="left" vertical="center"/>
    </xf>
    <xf numFmtId="167" fontId="23" fillId="0" borderId="9" xfId="0" applyNumberFormat="1" applyFont="1" applyBorder="1" applyAlignment="1">
      <alignment horizontal="left" vertical="center"/>
    </xf>
    <xf numFmtId="0" fontId="0" fillId="0" borderId="0" xfId="0" applyFont="1" applyBorder="1" applyAlignment="1">
      <alignment horizontal="left" vertical="top"/>
    </xf>
    <xf numFmtId="0" fontId="5" fillId="0" borderId="0" xfId="1" applyAlignment="1" applyProtection="1">
      <alignment horizontal="right" vertical="center" wrapText="1"/>
    </xf>
    <xf numFmtId="0" fontId="3" fillId="3" borderId="25" xfId="2" applyFont="1" applyFill="1" applyBorder="1" applyAlignment="1">
      <alignment horizontal="center"/>
    </xf>
    <xf numFmtId="0" fontId="3" fillId="3" borderId="26" xfId="2" applyFont="1" applyFill="1" applyBorder="1" applyAlignment="1">
      <alignment horizontal="center"/>
    </xf>
    <xf numFmtId="0" fontId="3" fillId="3" borderId="27" xfId="2" applyFont="1" applyFill="1" applyBorder="1" applyAlignment="1">
      <alignment horizontal="center"/>
    </xf>
    <xf numFmtId="0" fontId="5" fillId="7" borderId="1" xfId="1" applyFill="1" applyBorder="1" applyAlignment="1" applyProtection="1">
      <alignment horizontal="center" vertical="center"/>
    </xf>
    <xf numFmtId="0" fontId="5" fillId="7" borderId="2" xfId="1" applyFill="1" applyBorder="1" applyAlignment="1" applyProtection="1">
      <alignment horizontal="center" vertical="center"/>
    </xf>
    <xf numFmtId="0" fontId="5" fillId="7" borderId="3" xfId="1" applyFill="1" applyBorder="1" applyAlignment="1" applyProtection="1">
      <alignment horizontal="center" vertical="center"/>
    </xf>
    <xf numFmtId="0" fontId="5" fillId="7" borderId="4" xfId="1" applyFill="1" applyBorder="1" applyAlignment="1" applyProtection="1">
      <alignment horizontal="center" vertical="center"/>
    </xf>
    <xf numFmtId="0" fontId="5" fillId="7" borderId="0" xfId="1" applyFill="1" applyBorder="1" applyAlignment="1" applyProtection="1">
      <alignment horizontal="center" vertical="center"/>
    </xf>
    <xf numFmtId="0" fontId="5" fillId="7" borderId="5" xfId="1" applyFill="1" applyBorder="1" applyAlignment="1" applyProtection="1">
      <alignment horizontal="center" vertical="center"/>
    </xf>
    <xf numFmtId="0" fontId="5" fillId="7" borderId="6" xfId="1" applyFill="1" applyBorder="1" applyAlignment="1" applyProtection="1">
      <alignment horizontal="center" vertical="center"/>
    </xf>
    <xf numFmtId="0" fontId="5" fillId="7" borderId="7" xfId="1" applyFill="1" applyBorder="1" applyAlignment="1" applyProtection="1">
      <alignment horizontal="center" vertical="center"/>
    </xf>
    <xf numFmtId="0" fontId="5" fillId="7" borderId="8" xfId="1" applyFill="1" applyBorder="1" applyAlignment="1" applyProtection="1">
      <alignment horizontal="center" vertical="center"/>
    </xf>
    <xf numFmtId="0" fontId="0" fillId="0" borderId="0" xfId="0" applyBorder="1" applyAlignment="1">
      <alignment horizontal="left" vertical="top"/>
    </xf>
    <xf numFmtId="0" fontId="0" fillId="0" borderId="0" xfId="0" applyFill="1" applyBorder="1" applyAlignment="1">
      <alignment horizontal="left" vertical="top" wrapText="1"/>
    </xf>
    <xf numFmtId="0" fontId="0" fillId="0" borderId="0" xfId="0" applyBorder="1" applyAlignment="1">
      <alignment horizontal="left" vertical="top" wrapText="1"/>
    </xf>
    <xf numFmtId="0" fontId="0" fillId="15" borderId="0" xfId="0" applyFill="1" applyAlignment="1">
      <alignment horizontal="left" vertical="top" wrapText="1"/>
    </xf>
    <xf numFmtId="0" fontId="0" fillId="0" borderId="9" xfId="0" applyBorder="1" applyAlignment="1">
      <alignment horizontal="left" vertical="top"/>
    </xf>
    <xf numFmtId="0" fontId="17" fillId="0" borderId="26" xfId="0" applyFont="1" applyBorder="1" applyAlignment="1">
      <alignment horizontal="center" vertical="center"/>
    </xf>
    <xf numFmtId="0" fontId="17" fillId="0" borderId="27" xfId="0" applyFont="1" applyBorder="1" applyAlignment="1">
      <alignment horizontal="center" vertical="center"/>
    </xf>
    <xf numFmtId="0" fontId="0" fillId="0" borderId="0" xfId="0" applyFont="1" applyFill="1" applyBorder="1" applyAlignment="1">
      <alignment horizontal="right" wrapText="1"/>
    </xf>
    <xf numFmtId="0" fontId="16" fillId="0" borderId="0" xfId="0" applyFont="1" applyBorder="1" applyAlignment="1">
      <alignment horizontal="left" vertical="top"/>
    </xf>
    <xf numFmtId="0" fontId="19" fillId="0" borderId="0" xfId="0" applyFont="1" applyBorder="1" applyAlignment="1">
      <alignment horizontal="left" vertical="top"/>
    </xf>
    <xf numFmtId="0" fontId="24" fillId="0" borderId="0" xfId="0" applyFont="1" applyBorder="1" applyAlignment="1">
      <alignment horizontal="left"/>
    </xf>
    <xf numFmtId="0" fontId="17" fillId="0" borderId="25" xfId="0" applyFont="1" applyBorder="1" applyAlignment="1">
      <alignment horizontal="center" vertical="center"/>
    </xf>
    <xf numFmtId="0" fontId="17" fillId="0" borderId="17" xfId="0" applyFont="1" applyFill="1" applyBorder="1" applyAlignment="1">
      <alignment horizontal="right" wrapText="1"/>
    </xf>
    <xf numFmtId="0" fontId="0" fillId="0" borderId="0" xfId="0" applyBorder="1" applyAlignment="1">
      <alignment horizontal="right"/>
    </xf>
    <xf numFmtId="2" fontId="26" fillId="0" borderId="11" xfId="0" applyNumberFormat="1" applyFont="1" applyBorder="1" applyAlignment="1">
      <alignment horizontal="right"/>
    </xf>
    <xf numFmtId="2" fontId="0" fillId="26" borderId="9" xfId="0" applyNumberFormat="1" applyFill="1" applyBorder="1" applyAlignment="1">
      <alignment horizontal="center"/>
    </xf>
    <xf numFmtId="0" fontId="33" fillId="25" borderId="0" xfId="0" applyFont="1" applyFill="1" applyAlignment="1">
      <alignment horizontal="center" vertical="center"/>
    </xf>
    <xf numFmtId="2" fontId="17" fillId="27" borderId="0" xfId="0" applyNumberFormat="1" applyFont="1" applyFill="1" applyAlignment="1">
      <alignment horizontal="center"/>
    </xf>
    <xf numFmtId="0" fontId="17" fillId="27" borderId="0" xfId="0" applyFont="1" applyFill="1" applyAlignment="1">
      <alignment horizontal="center"/>
    </xf>
  </cellXfs>
  <cellStyles count="5">
    <cellStyle name="Hipervínculo" xfId="1" builtinId="8"/>
    <cellStyle name="Normal" xfId="0" builtinId="0"/>
    <cellStyle name="Normal 2" xfId="2"/>
    <cellStyle name="Normal 3" xfId="3"/>
    <cellStyle name="Normal 4" xfId="4"/>
  </cellStyles>
  <dxfs count="2">
    <dxf>
      <font>
        <color theme="1"/>
      </font>
    </dxf>
    <dxf>
      <font>
        <color rgb="FF3333FF"/>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4.jpeg"/><Relationship Id="rId13" Type="http://schemas.openxmlformats.org/officeDocument/2006/relationships/hyperlink" Target="http://db.tt/Eu5lc3WR" TargetMode="External"/><Relationship Id="rId18" Type="http://schemas.openxmlformats.org/officeDocument/2006/relationships/image" Target="../media/image9.png"/><Relationship Id="rId3" Type="http://schemas.openxmlformats.org/officeDocument/2006/relationships/hyperlink" Target="http://fidelsmc.blogspot.com/feeds/posts/default" TargetMode="External"/><Relationship Id="rId7" Type="http://schemas.openxmlformats.org/officeDocument/2006/relationships/hyperlink" Target="https://plus.google.com/110134448459003972495" TargetMode="External"/><Relationship Id="rId12" Type="http://schemas.openxmlformats.org/officeDocument/2006/relationships/image" Target="../media/image6.png"/><Relationship Id="rId17" Type="http://schemas.openxmlformats.org/officeDocument/2006/relationships/hyperlink" Target="https://docs.google.com/document/d/1XjXd0b6AOXi2TvbSKb6RUXqzXsiWY52nQjXD7IqyJx4/edit#heading=h.porcb63et8fq" TargetMode="External"/><Relationship Id="rId2" Type="http://schemas.openxmlformats.org/officeDocument/2006/relationships/image" Target="../media/image1.jpeg"/><Relationship Id="rId16" Type="http://schemas.openxmlformats.org/officeDocument/2006/relationships/image" Target="../media/image8.jpeg"/><Relationship Id="rId1" Type="http://schemas.openxmlformats.org/officeDocument/2006/relationships/hyperlink" Target="http://twitter.com/fidelsmc" TargetMode="External"/><Relationship Id="rId6" Type="http://schemas.openxmlformats.org/officeDocument/2006/relationships/image" Target="../media/image3.png"/><Relationship Id="rId11" Type="http://schemas.openxmlformats.org/officeDocument/2006/relationships/hyperlink" Target="https://www.youtube.com/watch?v=Qqh-tAqqlC4" TargetMode="External"/><Relationship Id="rId5" Type="http://schemas.openxmlformats.org/officeDocument/2006/relationships/hyperlink" Target="mailto:fidelsmc@gmail.com?subject=Calculos%20Salariales" TargetMode="External"/><Relationship Id="rId15" Type="http://schemas.openxmlformats.org/officeDocument/2006/relationships/hyperlink" Target="http://perfil.mercadolibre.com.ve/FIDELSMC" TargetMode="External"/><Relationship Id="rId10" Type="http://schemas.openxmlformats.org/officeDocument/2006/relationships/image" Target="../media/image5.png"/><Relationship Id="rId4" Type="http://schemas.openxmlformats.org/officeDocument/2006/relationships/image" Target="../media/image2.jpeg"/><Relationship Id="rId9" Type="http://schemas.openxmlformats.org/officeDocument/2006/relationships/hyperlink" Target="http://adf.ly/9hbvI" TargetMode="External"/><Relationship Id="rId14" Type="http://schemas.openxmlformats.org/officeDocument/2006/relationships/image" Target="../media/image7.jpeg"/></Relationships>
</file>

<file path=xl/drawings/_rels/drawing3.xml.rels><?xml version="1.0" encoding="UTF-8" standalone="yes"?>
<Relationships xmlns="http://schemas.openxmlformats.org/package/2006/relationships"><Relationship Id="rId3" Type="http://schemas.openxmlformats.org/officeDocument/2006/relationships/hyperlink" Target="http://74.125.93.132/search?q=cache:tN84uFdTdLsJ:www.venelogia.com/archivos/3339/+calculo+paro+forzoso&amp;cd=2&amp;hl=es&amp;ct=clnk&amp;gl=ve&amp;client=firefox-a" TargetMode="External"/><Relationship Id="rId2" Type="http://schemas.openxmlformats.org/officeDocument/2006/relationships/image" Target="../media/image10.png"/><Relationship Id="rId1" Type="http://schemas.openxmlformats.org/officeDocument/2006/relationships/hyperlink" Target="http://www.venelogia.com/archivos/2250/" TargetMode="External"/><Relationship Id="rId4" Type="http://schemas.openxmlformats.org/officeDocument/2006/relationships/hyperlink" Target="http://www.venelogia.com/archivos/2249/" TargetMode="External"/></Relationships>
</file>

<file path=xl/drawings/_rels/drawing7.xml.rels><?xml version="1.0" encoding="UTF-8" standalone="yes"?>
<Relationships xmlns="http://schemas.openxmlformats.org/package/2006/relationships"><Relationship Id="rId2" Type="http://schemas.openxmlformats.org/officeDocument/2006/relationships/image" Target="../media/image11.png"/><Relationship Id="rId1" Type="http://schemas.openxmlformats.org/officeDocument/2006/relationships/hyperlink" Target="http://www.venelogia.com/archivos/2248/" TargetMode="External"/></Relationships>
</file>

<file path=xl/drawings/_rels/drawing8.xml.rels><?xml version="1.0" encoding="UTF-8" standalone="yes"?>
<Relationships xmlns="http://schemas.openxmlformats.org/package/2006/relationships"><Relationship Id="rId1" Type="http://schemas.openxmlformats.org/officeDocument/2006/relationships/image" Target="../media/image12.png"/></Relationships>
</file>

<file path=xl/drawings/drawing1.xml><?xml version="1.0" encoding="utf-8"?>
<xdr:wsDr xmlns:xdr="http://schemas.openxmlformats.org/drawingml/2006/spreadsheetDrawing" xmlns:a="http://schemas.openxmlformats.org/drawingml/2006/main">
  <xdr:twoCellAnchor editAs="oneCell">
    <xdr:from>
      <xdr:col>1</xdr:col>
      <xdr:colOff>76200</xdr:colOff>
      <xdr:row>27</xdr:row>
      <xdr:rowOff>142875</xdr:rowOff>
    </xdr:from>
    <xdr:to>
      <xdr:col>1</xdr:col>
      <xdr:colOff>419100</xdr:colOff>
      <xdr:row>29</xdr:row>
      <xdr:rowOff>95250</xdr:rowOff>
    </xdr:to>
    <xdr:pic>
      <xdr:nvPicPr>
        <xdr:cNvPr id="1774" name="Picture 32">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23850" y="5619750"/>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1</xdr:col>
      <xdr:colOff>800100</xdr:colOff>
      <xdr:row>27</xdr:row>
      <xdr:rowOff>161925</xdr:rowOff>
    </xdr:from>
    <xdr:to>
      <xdr:col>1</xdr:col>
      <xdr:colOff>1085850</xdr:colOff>
      <xdr:row>29</xdr:row>
      <xdr:rowOff>57150</xdr:rowOff>
    </xdr:to>
    <xdr:pic>
      <xdr:nvPicPr>
        <xdr:cNvPr id="1775" name="Picture 31">
          <a:hlinkClick xmlns:r="http://schemas.openxmlformats.org/officeDocument/2006/relationships" r:id="rId3"/>
        </xdr:cNvPr>
        <xdr:cNvPicPr>
          <a:picLocks noChangeAspect="1" noChangeArrowheads="1"/>
        </xdr:cNvPicPr>
      </xdr:nvPicPr>
      <xdr:blipFill>
        <a:blip xmlns:r="http://schemas.openxmlformats.org/officeDocument/2006/relationships" r:embed="rId4" cstate="print">
          <a:clrChange>
            <a:clrFrom>
              <a:srgbClr val="FDFDFF"/>
            </a:clrFrom>
            <a:clrTo>
              <a:srgbClr val="FDFDFF">
                <a:alpha val="0"/>
              </a:srgbClr>
            </a:clrTo>
          </a:clrChange>
          <a:extLst>
            <a:ext uri="{28A0092B-C50C-407E-A947-70E740481C1C}">
              <a14:useLocalDpi xmlns:a14="http://schemas.microsoft.com/office/drawing/2010/main" val="0"/>
            </a:ext>
          </a:extLst>
        </a:blip>
        <a:srcRect/>
        <a:stretch>
          <a:fillRect/>
        </a:stretch>
      </xdr:blipFill>
      <xdr:spPr bwMode="auto">
        <a:xfrm>
          <a:off x="1047750" y="5638800"/>
          <a:ext cx="285750" cy="285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1</xdr:col>
      <xdr:colOff>1428750</xdr:colOff>
      <xdr:row>27</xdr:row>
      <xdr:rowOff>104775</xdr:rowOff>
    </xdr:from>
    <xdr:to>
      <xdr:col>2</xdr:col>
      <xdr:colOff>276225</xdr:colOff>
      <xdr:row>29</xdr:row>
      <xdr:rowOff>123825</xdr:rowOff>
    </xdr:to>
    <xdr:pic>
      <xdr:nvPicPr>
        <xdr:cNvPr id="1776" name="Picture 30">
          <a:hlinkClick xmlns:r="http://schemas.openxmlformats.org/officeDocument/2006/relationships" r:id="rId5"/>
        </xdr:cNvPr>
        <xdr:cNvPicPr>
          <a:picLocks noChangeAspect="1" noChangeArrowheads="1"/>
        </xdr:cNvPicPr>
      </xdr:nvPicPr>
      <xdr:blipFill>
        <a:blip xmlns:r="http://schemas.openxmlformats.org/officeDocument/2006/relationships" r:embed="rId6">
          <a:clrChange>
            <a:clrFrom>
              <a:srgbClr val="FCFEF9"/>
            </a:clrFrom>
            <a:clrTo>
              <a:srgbClr val="FCFEF9">
                <a:alpha val="0"/>
              </a:srgbClr>
            </a:clrTo>
          </a:clrChange>
          <a:extLst>
            <a:ext uri="{28A0092B-C50C-407E-A947-70E740481C1C}">
              <a14:useLocalDpi xmlns:a14="http://schemas.microsoft.com/office/drawing/2010/main" val="0"/>
            </a:ext>
          </a:extLst>
        </a:blip>
        <a:srcRect l="15323" r="15323"/>
        <a:stretch>
          <a:fillRect/>
        </a:stretch>
      </xdr:blipFill>
      <xdr:spPr bwMode="auto">
        <a:xfrm>
          <a:off x="1676400" y="5581650"/>
          <a:ext cx="400050" cy="409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2</xdr:col>
      <xdr:colOff>600075</xdr:colOff>
      <xdr:row>27</xdr:row>
      <xdr:rowOff>76200</xdr:rowOff>
    </xdr:from>
    <xdr:to>
      <xdr:col>2</xdr:col>
      <xdr:colOff>1038225</xdr:colOff>
      <xdr:row>29</xdr:row>
      <xdr:rowOff>123825</xdr:rowOff>
    </xdr:to>
    <xdr:pic>
      <xdr:nvPicPr>
        <xdr:cNvPr id="1777" name="12 Imagen" descr="http://www.berrydroid.com/wp-content/uploads/2011/07/google-plus-icon.jpg">
          <a:hlinkClick xmlns:r="http://schemas.openxmlformats.org/officeDocument/2006/relationships" r:id="rId7"/>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2400300" y="5553075"/>
          <a:ext cx="438150" cy="438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47625</xdr:colOff>
      <xdr:row>13</xdr:row>
      <xdr:rowOff>76200</xdr:rowOff>
    </xdr:from>
    <xdr:to>
      <xdr:col>1</xdr:col>
      <xdr:colOff>495300</xdr:colOff>
      <xdr:row>15</xdr:row>
      <xdr:rowOff>133350</xdr:rowOff>
    </xdr:to>
    <xdr:pic>
      <xdr:nvPicPr>
        <xdr:cNvPr id="1778" name="Picture 34">
          <a:hlinkClick xmlns:r="http://schemas.openxmlformats.org/officeDocument/2006/relationships" r:id="rId9"/>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l="19501" t="2255" r="19000" b="6015"/>
        <a:stretch>
          <a:fillRect/>
        </a:stretch>
      </xdr:blipFill>
      <xdr:spPr bwMode="auto">
        <a:xfrm>
          <a:off x="295275" y="2762250"/>
          <a:ext cx="447675" cy="4476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15</xdr:col>
      <xdr:colOff>0</xdr:colOff>
      <xdr:row>35</xdr:row>
      <xdr:rowOff>0</xdr:rowOff>
    </xdr:from>
    <xdr:to>
      <xdr:col>15</xdr:col>
      <xdr:colOff>304800</xdr:colOff>
      <xdr:row>36</xdr:row>
      <xdr:rowOff>104775</xdr:rowOff>
    </xdr:to>
    <xdr:sp macro="" textlink="">
      <xdr:nvSpPr>
        <xdr:cNvPr id="1779" name="AutoShape 345" descr="http://www.indyzoo.com/SiteAssets/YouTube%20icon%20button.png"/>
        <xdr:cNvSpPr>
          <a:spLocks noChangeAspect="1" noChangeArrowheads="1"/>
        </xdr:cNvSpPr>
      </xdr:nvSpPr>
      <xdr:spPr bwMode="auto">
        <a:xfrm>
          <a:off x="10477500" y="7029450"/>
          <a:ext cx="3048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9</xdr:col>
      <xdr:colOff>95250</xdr:colOff>
      <xdr:row>32</xdr:row>
      <xdr:rowOff>66675</xdr:rowOff>
    </xdr:from>
    <xdr:to>
      <xdr:col>11</xdr:col>
      <xdr:colOff>371475</xdr:colOff>
      <xdr:row>35</xdr:row>
      <xdr:rowOff>171450</xdr:rowOff>
    </xdr:to>
    <xdr:pic>
      <xdr:nvPicPr>
        <xdr:cNvPr id="1780" name="1 Imagen">
          <a:hlinkClick xmlns:r="http://schemas.openxmlformats.org/officeDocument/2006/relationships" r:id="rId11"/>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7248525" y="6524625"/>
          <a:ext cx="676275" cy="676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123825</xdr:colOff>
      <xdr:row>23</xdr:row>
      <xdr:rowOff>114300</xdr:rowOff>
    </xdr:from>
    <xdr:to>
      <xdr:col>11</xdr:col>
      <xdr:colOff>695325</xdr:colOff>
      <xdr:row>27</xdr:row>
      <xdr:rowOff>95250</xdr:rowOff>
    </xdr:to>
    <xdr:pic>
      <xdr:nvPicPr>
        <xdr:cNvPr id="1781" name="Picture 8" descr="http://fc09.deviantart.net/fs70/i/2009/345/6/a/Dropbox_Icon_for_Windows_by_redwolf.jpg">
          <a:hlinkClick xmlns:r="http://schemas.openxmlformats.org/officeDocument/2006/relationships" r:id="rId13"/>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467600" y="4791075"/>
          <a:ext cx="781050" cy="781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209550</xdr:colOff>
      <xdr:row>16</xdr:row>
      <xdr:rowOff>190500</xdr:rowOff>
    </xdr:from>
    <xdr:to>
      <xdr:col>13</xdr:col>
      <xdr:colOff>190500</xdr:colOff>
      <xdr:row>21</xdr:row>
      <xdr:rowOff>0</xdr:rowOff>
    </xdr:to>
    <xdr:pic>
      <xdr:nvPicPr>
        <xdr:cNvPr id="1782" name="1 Imagen">
          <a:hlinkClick xmlns:r="http://schemas.openxmlformats.org/officeDocument/2006/relationships" r:id="rId15"/>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7762875" y="3467100"/>
          <a:ext cx="1905000" cy="809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17</xdr:col>
      <xdr:colOff>47625</xdr:colOff>
      <xdr:row>23</xdr:row>
      <xdr:rowOff>161925</xdr:rowOff>
    </xdr:from>
    <xdr:to>
      <xdr:col>17</xdr:col>
      <xdr:colOff>704850</xdr:colOff>
      <xdr:row>27</xdr:row>
      <xdr:rowOff>19050</xdr:rowOff>
    </xdr:to>
    <xdr:pic>
      <xdr:nvPicPr>
        <xdr:cNvPr id="1783" name="1 Imagen">
          <a:hlinkClick xmlns:r="http://schemas.openxmlformats.org/officeDocument/2006/relationships" r:id="rId17" tooltip="Ir a la ayuda en linea"/>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2049125" y="4838700"/>
          <a:ext cx="6572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8</xdr:row>
          <xdr:rowOff>38100</xdr:rowOff>
        </xdr:from>
        <xdr:to>
          <xdr:col>3</xdr:col>
          <xdr:colOff>285750</xdr:colOff>
          <xdr:row>11</xdr:row>
          <xdr:rowOff>76200</xdr:rowOff>
        </xdr:to>
        <xdr:sp macro="" textlink="">
          <xdr:nvSpPr>
            <xdr:cNvPr id="14363" name="Button 27" hidden="1">
              <a:extLst>
                <a:ext uri="{63B3BB69-23CF-44E3-9099-C40C66FF867C}">
                  <a14:compatExt spid="_x0000_s1436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L" sz="1100" b="0" i="0" u="none" strike="noStrike" baseline="0">
                  <a:solidFill>
                    <a:srgbClr val="000000"/>
                  </a:solidFill>
                  <a:latin typeface="Calibri"/>
                  <a:cs typeface="Calibri"/>
                </a:rPr>
                <a:t>Calcular Salario </a:t>
              </a:r>
            </a:p>
            <a:p>
              <a:pPr algn="ctr" rtl="0">
                <a:defRPr sz="1000"/>
              </a:pPr>
              <a:r>
                <a:rPr lang="es-CL" sz="1100" b="0" i="0" u="none" strike="noStrike" baseline="0">
                  <a:solidFill>
                    <a:srgbClr val="000000"/>
                  </a:solidFill>
                  <a:latin typeface="Calibri"/>
                  <a:cs typeface="Calibri"/>
                </a:rPr>
                <a:t>Diario / Semanal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3</xdr:col>
      <xdr:colOff>361950</xdr:colOff>
      <xdr:row>3</xdr:row>
      <xdr:rowOff>66675</xdr:rowOff>
    </xdr:from>
    <xdr:to>
      <xdr:col>3</xdr:col>
      <xdr:colOff>552450</xdr:colOff>
      <xdr:row>4</xdr:row>
      <xdr:rowOff>133350</xdr:rowOff>
    </xdr:to>
    <xdr:pic>
      <xdr:nvPicPr>
        <xdr:cNvPr id="7173" name="Picture 3">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13675" t="14529" r="14529" b="13675"/>
        <a:stretch>
          <a:fillRect/>
        </a:stretch>
      </xdr:blipFill>
      <xdr:spPr bwMode="auto">
        <a:xfrm>
          <a:off x="3438525" y="742950"/>
          <a:ext cx="190500" cy="228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3</xdr:col>
      <xdr:colOff>361950</xdr:colOff>
      <xdr:row>15</xdr:row>
      <xdr:rowOff>66675</xdr:rowOff>
    </xdr:from>
    <xdr:to>
      <xdr:col>3</xdr:col>
      <xdr:colOff>552450</xdr:colOff>
      <xdr:row>16</xdr:row>
      <xdr:rowOff>133350</xdr:rowOff>
    </xdr:to>
    <xdr:pic>
      <xdr:nvPicPr>
        <xdr:cNvPr id="7174" name="Picture 4">
          <a:hlinkClick xmlns:r="http://schemas.openxmlformats.org/officeDocument/2006/relationships" r:id="rId3"/>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13675" t="14529" r="14529" b="13675"/>
        <a:stretch>
          <a:fillRect/>
        </a:stretch>
      </xdr:blipFill>
      <xdr:spPr bwMode="auto">
        <a:xfrm>
          <a:off x="3438525" y="2705100"/>
          <a:ext cx="190500" cy="228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3</xdr:col>
      <xdr:colOff>361950</xdr:colOff>
      <xdr:row>27</xdr:row>
      <xdr:rowOff>66675</xdr:rowOff>
    </xdr:from>
    <xdr:to>
      <xdr:col>3</xdr:col>
      <xdr:colOff>552450</xdr:colOff>
      <xdr:row>28</xdr:row>
      <xdr:rowOff>133350</xdr:rowOff>
    </xdr:to>
    <xdr:pic>
      <xdr:nvPicPr>
        <xdr:cNvPr id="7175" name="Picture 5">
          <a:hlinkClick xmlns:r="http://schemas.openxmlformats.org/officeDocument/2006/relationships" r:id="rId4"/>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13675" t="14529" r="14529" b="13675"/>
        <a:stretch>
          <a:fillRect/>
        </a:stretch>
      </xdr:blipFill>
      <xdr:spPr bwMode="auto">
        <a:xfrm>
          <a:off x="3438525" y="4667250"/>
          <a:ext cx="190500" cy="228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257175</xdr:colOff>
          <xdr:row>4</xdr:row>
          <xdr:rowOff>152400</xdr:rowOff>
        </xdr:from>
        <xdr:to>
          <xdr:col>10</xdr:col>
          <xdr:colOff>38100</xdr:colOff>
          <xdr:row>6</xdr:row>
          <xdr:rowOff>66675</xdr:rowOff>
        </xdr:to>
        <xdr:sp macro="" textlink="">
          <xdr:nvSpPr>
            <xdr:cNvPr id="3078" name="Button 6" hidden="1">
              <a:extLst>
                <a:ext uri="{63B3BB69-23CF-44E3-9099-C40C66FF867C}">
                  <a14:compatExt spid="_x0000_s307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L" sz="1100" b="0" i="0" u="none" strike="noStrike" baseline="0">
                  <a:solidFill>
                    <a:srgbClr val="000000"/>
                  </a:solidFill>
                  <a:latin typeface="Calibri"/>
                  <a:cs typeface="Calibri"/>
                </a:rPr>
                <a:t>Configurar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161925</xdr:colOff>
          <xdr:row>15</xdr:row>
          <xdr:rowOff>142875</xdr:rowOff>
        </xdr:from>
        <xdr:to>
          <xdr:col>9</xdr:col>
          <xdr:colOff>342900</xdr:colOff>
          <xdr:row>18</xdr:row>
          <xdr:rowOff>0</xdr:rowOff>
        </xdr:to>
        <xdr:sp macro="" textlink="">
          <xdr:nvSpPr>
            <xdr:cNvPr id="17411" name="Button 3" hidden="1">
              <a:extLst>
                <a:ext uri="{63B3BB69-23CF-44E3-9099-C40C66FF867C}">
                  <a14:compatExt spid="_x0000_s1741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L" sz="1100" b="0" i="0" u="none" strike="noStrike" baseline="0">
                  <a:solidFill>
                    <a:srgbClr val="000000"/>
                  </a:solidFill>
                  <a:latin typeface="Calibri"/>
                  <a:cs typeface="Calibri"/>
                </a:rPr>
                <a:t>Volver y Copiar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161925</xdr:colOff>
          <xdr:row>1</xdr:row>
          <xdr:rowOff>0</xdr:rowOff>
        </xdr:from>
        <xdr:to>
          <xdr:col>9</xdr:col>
          <xdr:colOff>342900</xdr:colOff>
          <xdr:row>3</xdr:row>
          <xdr:rowOff>76200</xdr:rowOff>
        </xdr:to>
        <xdr:sp macro="" textlink="">
          <xdr:nvSpPr>
            <xdr:cNvPr id="17412" name="Button 4" hidden="1">
              <a:extLst>
                <a:ext uri="{63B3BB69-23CF-44E3-9099-C40C66FF867C}">
                  <a14:compatExt spid="_x0000_s1741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L" sz="1100" b="0" i="0" u="none" strike="noStrike" baseline="0">
                  <a:solidFill>
                    <a:srgbClr val="000000"/>
                  </a:solidFill>
                  <a:latin typeface="Calibri"/>
                  <a:cs typeface="Calibri"/>
                </a:rPr>
                <a:t>Volver</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219075</xdr:colOff>
          <xdr:row>4</xdr:row>
          <xdr:rowOff>180975</xdr:rowOff>
        </xdr:from>
        <xdr:to>
          <xdr:col>15</xdr:col>
          <xdr:colOff>800100</xdr:colOff>
          <xdr:row>9</xdr:row>
          <xdr:rowOff>0</xdr:rowOff>
        </xdr:to>
        <xdr:sp macro="" textlink="">
          <xdr:nvSpPr>
            <xdr:cNvPr id="5127" name="Button 7" hidden="1">
              <a:extLst>
                <a:ext uri="{63B3BB69-23CF-44E3-9099-C40C66FF867C}">
                  <a14:compatExt spid="_x0000_s512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L" sz="1100" b="0" i="0" u="none" strike="noStrike" baseline="0">
                  <a:solidFill>
                    <a:srgbClr val="000000"/>
                  </a:solidFill>
                  <a:latin typeface="Calibri"/>
                  <a:cs typeface="Calibri"/>
                </a:rPr>
                <a:t>Calculadora de Salario Integral</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3</xdr:col>
      <xdr:colOff>85725</xdr:colOff>
      <xdr:row>2</xdr:row>
      <xdr:rowOff>47625</xdr:rowOff>
    </xdr:from>
    <xdr:to>
      <xdr:col>3</xdr:col>
      <xdr:colOff>266700</xdr:colOff>
      <xdr:row>3</xdr:row>
      <xdr:rowOff>114300</xdr:rowOff>
    </xdr:to>
    <xdr:pic>
      <xdr:nvPicPr>
        <xdr:cNvPr id="20481" name="Picture 1">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13675" t="14529" r="14529" b="13675"/>
        <a:stretch>
          <a:fillRect/>
        </a:stretch>
      </xdr:blipFill>
      <xdr:spPr bwMode="auto">
        <a:xfrm>
          <a:off x="3200400" y="390525"/>
          <a:ext cx="180975" cy="228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0</xdr:colOff>
      <xdr:row>12</xdr:row>
      <xdr:rowOff>0</xdr:rowOff>
    </xdr:from>
    <xdr:to>
      <xdr:col>6</xdr:col>
      <xdr:colOff>66675</xdr:colOff>
      <xdr:row>28</xdr:row>
      <xdr:rowOff>85725</xdr:rowOff>
    </xdr:to>
    <xdr:pic>
      <xdr:nvPicPr>
        <xdr:cNvPr id="22529" name="1 Imagen"/>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86000"/>
          <a:ext cx="3114675" cy="3133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hyperlink" Target="mailto:fidelsmc@gmail.com" TargetMode="External"/></Relationships>
</file>

<file path=xl/worksheets/_rels/sheet2.xml.rels><?xml version="1.0" encoding="UTF-8" standalone="yes"?>
<Relationships xmlns="http://schemas.openxmlformats.org/package/2006/relationships"><Relationship Id="rId8" Type="http://schemas.openxmlformats.org/officeDocument/2006/relationships/hyperlink" Target="https://docs.google.com/spreadsheet/viewform?formkey=dGQ2S2tLZlQxWFpIUEswY2FlZUFFbWc6MQ" TargetMode="External"/><Relationship Id="rId13" Type="http://schemas.openxmlformats.org/officeDocument/2006/relationships/comments" Target="../comments1.xml"/><Relationship Id="rId3" Type="http://schemas.openxmlformats.org/officeDocument/2006/relationships/hyperlink" Target="https://www.youtube.com/watch?v=Qqh-tAqqlC4" TargetMode="External"/><Relationship Id="rId7" Type="http://schemas.openxmlformats.org/officeDocument/2006/relationships/hyperlink" Target="https://www.mercadopago.com/mlv/buybutton?id=fb6b28e7-dc4c-44a6-a6d1-2caec6498763" TargetMode="External"/><Relationship Id="rId12" Type="http://schemas.openxmlformats.org/officeDocument/2006/relationships/vmlDrawing" Target="../drawings/vmlDrawing1.vml"/><Relationship Id="rId2" Type="http://schemas.openxmlformats.org/officeDocument/2006/relationships/hyperlink" Target="http://fidelsmc.blogspot.com/" TargetMode="External"/><Relationship Id="rId1" Type="http://schemas.openxmlformats.org/officeDocument/2006/relationships/hyperlink" Target="mailto:fidelsmc@gmail.com" TargetMode="External"/><Relationship Id="rId6" Type="http://schemas.openxmlformats.org/officeDocument/2006/relationships/hyperlink" Target="http://adf.ly/1136946/actualizacion-de-calculos-salariales" TargetMode="External"/><Relationship Id="rId11" Type="http://schemas.openxmlformats.org/officeDocument/2006/relationships/drawing" Target="../drawings/drawing1.xml"/><Relationship Id="rId5" Type="http://schemas.openxmlformats.org/officeDocument/2006/relationships/hyperlink" Target="http://adf.ly/9hbIE" TargetMode="External"/><Relationship Id="rId10" Type="http://schemas.openxmlformats.org/officeDocument/2006/relationships/printerSettings" Target="../printerSettings/printerSettings1.bin"/><Relationship Id="rId4" Type="http://schemas.openxmlformats.org/officeDocument/2006/relationships/hyperlink" Target="http://db.tt/Eu5lc3WR" TargetMode="External"/><Relationship Id="rId9" Type="http://schemas.openxmlformats.org/officeDocument/2006/relationships/hyperlink" Target="http://adf.ly/1136946/ayuda-calculos-salariales"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openxmlformats.org/officeDocument/2006/relationships/hyperlink" Target="http://www.sigoweb.com/pdfs/Ley-Politica-Habitacional.pdf" TargetMode="External"/><Relationship Id="rId5" Type="http://schemas.openxmlformats.org/officeDocument/2006/relationships/comments" Target="../comments3.xml"/><Relationship Id="rId4"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6.bin"/><Relationship Id="rId1" Type="http://schemas.openxmlformats.org/officeDocument/2006/relationships/hyperlink" Target="https://docs.google.com/document/d/1XjXd0b6AOXi2TvbSKb6RUXqzXsiWY52nQjXD7IqyJx4/edit" TargetMode="External"/><Relationship Id="rId6" Type="http://schemas.openxmlformats.org/officeDocument/2006/relationships/comments" Target="../comments5.xml"/><Relationship Id="rId5" Type="http://schemas.openxmlformats.org/officeDocument/2006/relationships/ctrlProp" Target="../ctrlProps/ctrlProp2.xml"/><Relationship Id="rId4"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7.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8.bin"/><Relationship Id="rId5" Type="http://schemas.openxmlformats.org/officeDocument/2006/relationships/comments" Target="../comments6.xml"/><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http://www.bcv.org.ve/cuadros/1/1318.asp?id=26" TargetMode="External"/><Relationship Id="rId1" Type="http://schemas.openxmlformats.org/officeDocument/2006/relationships/hyperlink" Target="http://www.bcv.org.ve/cuadros/1/1318.asp" TargetMode="Externa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hyperlink" Target="http://xenonimpm.upel.edu.ve/documentos/asesoria_juridica/leyes/ley_alimentacion_para_trabajadores.pdf" TargetMode="External"/></Relationships>
</file>

<file path=xl/worksheets/_rels/sheet13.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hyperlink" Target="mailto:fidelsmc@gmail.com" TargetMode="External"/></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dimension ref="B4:B11"/>
  <sheetViews>
    <sheetView showGridLines="0" showRowColHeaders="0" workbookViewId="0">
      <selection activeCell="F13" sqref="F13"/>
    </sheetView>
  </sheetViews>
  <sheetFormatPr baseColWidth="10" defaultColWidth="9.140625" defaultRowHeight="15" x14ac:dyDescent="0.25"/>
  <cols>
    <col min="1" max="16384" width="9.140625" style="87"/>
  </cols>
  <sheetData>
    <row r="4" spans="2:2" x14ac:dyDescent="0.25">
      <c r="B4" s="87" t="s">
        <v>156</v>
      </c>
    </row>
    <row r="5" spans="2:2" x14ac:dyDescent="0.25">
      <c r="B5" s="87" t="s">
        <v>158</v>
      </c>
    </row>
    <row r="6" spans="2:2" x14ac:dyDescent="0.25">
      <c r="B6" s="212">
        <v>2012</v>
      </c>
    </row>
    <row r="7" spans="2:2" x14ac:dyDescent="0.25">
      <c r="B7" s="163" t="s">
        <v>44</v>
      </c>
    </row>
    <row r="9" spans="2:2" x14ac:dyDescent="0.25">
      <c r="B9" s="87" t="s">
        <v>159</v>
      </c>
    </row>
    <row r="11" spans="2:2" x14ac:dyDescent="0.25">
      <c r="B11" s="87" t="s">
        <v>160</v>
      </c>
    </row>
  </sheetData>
  <hyperlinks>
    <hyperlink ref="B7" r:id="rId1"/>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AF54"/>
  <sheetViews>
    <sheetView showGridLines="0" showRowColHeaders="0" tabSelected="1" workbookViewId="0"/>
  </sheetViews>
  <sheetFormatPr baseColWidth="10" defaultColWidth="9.140625" defaultRowHeight="15" x14ac:dyDescent="0.25"/>
  <cols>
    <col min="1" max="1" width="3.7109375" style="59" customWidth="1"/>
    <col min="2" max="2" width="23.28515625" customWidth="1"/>
    <col min="3" max="3" width="20.140625" customWidth="1"/>
    <col min="4" max="4" width="5.28515625" customWidth="1"/>
    <col min="5" max="5" width="3" customWidth="1"/>
    <col min="6" max="7" width="11.42578125" customWidth="1"/>
    <col min="8" max="8" width="17.5703125" customWidth="1"/>
    <col min="9" max="9" width="11.42578125" customWidth="1"/>
    <col min="10" max="10" width="2.85546875" customWidth="1"/>
    <col min="11" max="11" width="3.140625" customWidth="1"/>
    <col min="12" max="12" width="14" bestFit="1" customWidth="1"/>
    <col min="13" max="13" width="14.85546875" customWidth="1"/>
    <col min="14" max="14" width="11.42578125" customWidth="1"/>
    <col min="15" max="15" width="3.5703125" style="59" customWidth="1"/>
    <col min="16" max="19" width="11.42578125" style="59" customWidth="1"/>
  </cols>
  <sheetData>
    <row r="1" spans="2:32" s="59" customFormat="1" ht="15.75" thickBot="1" x14ac:dyDescent="0.3">
      <c r="Z1" s="301"/>
      <c r="AA1" s="301" t="s">
        <v>155</v>
      </c>
      <c r="AB1" s="301"/>
    </row>
    <row r="2" spans="2:32" ht="24" thickBot="1" x14ac:dyDescent="0.3">
      <c r="B2" s="413" t="s">
        <v>261</v>
      </c>
      <c r="C2" s="414"/>
      <c r="D2" s="414"/>
      <c r="E2" s="414"/>
      <c r="F2" s="414"/>
      <c r="G2" s="414"/>
      <c r="H2" s="414"/>
      <c r="I2" s="414"/>
      <c r="J2" s="414"/>
      <c r="K2" s="414"/>
      <c r="L2" s="414"/>
      <c r="M2" s="414"/>
      <c r="N2" s="415"/>
      <c r="T2" s="59"/>
      <c r="U2" s="59"/>
      <c r="V2" s="59"/>
      <c r="W2" s="59"/>
      <c r="X2" s="59"/>
      <c r="Y2" s="59"/>
      <c r="Z2" s="301"/>
      <c r="AA2" s="301" t="s">
        <v>156</v>
      </c>
      <c r="AB2" s="301"/>
      <c r="AC2" s="59"/>
      <c r="AD2" s="59"/>
      <c r="AE2" s="59"/>
      <c r="AF2" s="59"/>
    </row>
    <row r="3" spans="2:32" ht="15.75" thickBot="1" x14ac:dyDescent="0.3">
      <c r="B3" s="48"/>
      <c r="C3" s="48"/>
      <c r="D3" s="48"/>
      <c r="E3" s="48"/>
      <c r="F3" s="48"/>
      <c r="G3" s="48"/>
      <c r="H3" s="48"/>
      <c r="I3" s="48"/>
      <c r="J3" s="48"/>
      <c r="K3" s="48"/>
      <c r="L3" s="48"/>
      <c r="M3" s="48"/>
      <c r="N3" s="48"/>
      <c r="T3" s="59"/>
      <c r="U3" s="59"/>
      <c r="V3" s="59"/>
      <c r="W3" s="59"/>
      <c r="X3" s="59"/>
      <c r="Y3" s="59"/>
      <c r="Z3" s="301"/>
      <c r="AA3" s="301"/>
      <c r="AB3" s="301"/>
      <c r="AC3" s="59"/>
      <c r="AD3" s="59"/>
      <c r="AE3" s="59"/>
      <c r="AF3" s="59"/>
    </row>
    <row r="4" spans="2:32" ht="15.75" thickBot="1" x14ac:dyDescent="0.3">
      <c r="B4" s="407" t="s">
        <v>19</v>
      </c>
      <c r="C4" s="408"/>
      <c r="D4" s="409"/>
      <c r="E4" s="51"/>
      <c r="F4" s="389" t="s">
        <v>20</v>
      </c>
      <c r="G4" s="390"/>
      <c r="H4" s="390"/>
      <c r="I4" s="391"/>
      <c r="J4" s="48"/>
      <c r="K4" s="410" t="s">
        <v>141</v>
      </c>
      <c r="L4" s="411"/>
      <c r="M4" s="411"/>
      <c r="N4" s="412"/>
      <c r="P4" s="398" t="s">
        <v>216</v>
      </c>
      <c r="Q4" s="399"/>
      <c r="R4" s="400"/>
      <c r="T4" s="59"/>
      <c r="U4" s="59"/>
      <c r="V4" s="59"/>
      <c r="W4" s="59"/>
      <c r="X4" s="59"/>
      <c r="Y4" s="59"/>
      <c r="Z4" s="59"/>
      <c r="AA4" s="59"/>
      <c r="AB4" s="59"/>
      <c r="AC4" s="59"/>
      <c r="AD4" s="59"/>
      <c r="AE4" s="59"/>
      <c r="AF4" s="59"/>
    </row>
    <row r="5" spans="2:32" ht="15.75" thickBot="1" x14ac:dyDescent="0.3">
      <c r="B5" s="19" t="s">
        <v>18</v>
      </c>
      <c r="C5" s="24">
        <v>40624</v>
      </c>
      <c r="D5" s="18"/>
      <c r="E5" s="51"/>
      <c r="F5" s="48"/>
      <c r="G5" s="48"/>
      <c r="H5" s="48"/>
      <c r="I5" s="48"/>
      <c r="J5" s="48"/>
      <c r="K5" s="25"/>
      <c r="L5" s="6"/>
      <c r="M5" s="60"/>
      <c r="N5" s="210" t="s">
        <v>46</v>
      </c>
      <c r="P5" s="401"/>
      <c r="Q5" s="402"/>
      <c r="R5" s="403"/>
      <c r="T5" s="59"/>
      <c r="U5" s="59"/>
      <c r="V5" s="59"/>
      <c r="W5" s="59"/>
      <c r="X5" s="59"/>
      <c r="Y5" s="59"/>
      <c r="Z5" s="59"/>
      <c r="AA5" s="59"/>
      <c r="AB5" s="59"/>
      <c r="AC5" s="59"/>
      <c r="AD5" s="59"/>
      <c r="AE5" s="59"/>
      <c r="AF5" s="59"/>
    </row>
    <row r="6" spans="2:32" ht="15.75" thickBot="1" x14ac:dyDescent="0.3">
      <c r="B6" s="19" t="s">
        <v>21</v>
      </c>
      <c r="C6" s="24">
        <f ca="1">TODAY()</f>
        <v>42751</v>
      </c>
      <c r="D6" s="18"/>
      <c r="E6" s="48"/>
      <c r="F6" s="102" t="s">
        <v>88</v>
      </c>
      <c r="G6" s="29"/>
      <c r="H6" s="29"/>
      <c r="I6" s="107" t="s">
        <v>46</v>
      </c>
      <c r="J6" s="48"/>
      <c r="K6" s="25"/>
      <c r="L6" s="17" t="s">
        <v>153</v>
      </c>
      <c r="M6" s="6"/>
      <c r="N6" s="18"/>
      <c r="P6" s="401"/>
      <c r="Q6" s="402"/>
      <c r="R6" s="403"/>
      <c r="T6" s="59"/>
      <c r="U6" s="59"/>
      <c r="V6" s="59"/>
      <c r="W6" s="59"/>
      <c r="X6" s="59"/>
      <c r="Y6" s="59"/>
      <c r="Z6" s="59"/>
      <c r="AA6" s="59"/>
      <c r="AB6" s="59"/>
      <c r="AC6" s="59"/>
      <c r="AD6" s="59"/>
      <c r="AE6" s="59"/>
      <c r="AF6" s="59"/>
    </row>
    <row r="7" spans="2:32" x14ac:dyDescent="0.25">
      <c r="B7" s="19" t="s">
        <v>165</v>
      </c>
      <c r="C7" s="305" t="s">
        <v>46</v>
      </c>
      <c r="D7" s="18"/>
      <c r="E7" s="48"/>
      <c r="F7" s="396" t="s">
        <v>24</v>
      </c>
      <c r="G7" s="397"/>
      <c r="H7" s="99">
        <f>Prestaciones!G8</f>
        <v>25620.200000000004</v>
      </c>
      <c r="I7" s="100" t="s">
        <v>25</v>
      </c>
      <c r="J7" s="48"/>
      <c r="K7" s="25"/>
      <c r="L7" s="6" t="str">
        <f>Quincena!C4</f>
        <v>Cada 15 dias</v>
      </c>
      <c r="M7" s="6"/>
      <c r="N7" s="18"/>
      <c r="P7" s="401"/>
      <c r="Q7" s="402"/>
      <c r="R7" s="403"/>
      <c r="T7" s="59"/>
      <c r="U7" s="59"/>
      <c r="V7" s="59"/>
      <c r="W7" s="59"/>
      <c r="X7" s="59"/>
      <c r="Y7" s="59"/>
      <c r="Z7" s="59"/>
      <c r="AA7" s="59"/>
      <c r="AB7" s="59"/>
      <c r="AC7" s="59"/>
      <c r="AD7" s="59"/>
      <c r="AE7" s="59"/>
      <c r="AF7" s="59"/>
    </row>
    <row r="8" spans="2:32" x14ac:dyDescent="0.25">
      <c r="B8" s="19" t="s">
        <v>166</v>
      </c>
      <c r="C8" s="317">
        <f>Sueldo!D6</f>
        <v>90000</v>
      </c>
      <c r="D8" s="18"/>
      <c r="E8" s="48"/>
      <c r="F8" s="394" t="s">
        <v>89</v>
      </c>
      <c r="G8" s="395"/>
      <c r="H8" s="103">
        <f>Prestaciones!T8</f>
        <v>3863.3244400000003</v>
      </c>
      <c r="I8" s="101" t="s">
        <v>25</v>
      </c>
      <c r="J8" s="48"/>
      <c r="K8" s="25"/>
      <c r="L8" s="6"/>
      <c r="M8" s="60"/>
      <c r="N8" s="18"/>
      <c r="P8" s="401"/>
      <c r="Q8" s="402"/>
      <c r="R8" s="403"/>
      <c r="T8" s="59"/>
      <c r="U8" s="59"/>
      <c r="V8" s="59"/>
      <c r="W8" s="59"/>
      <c r="X8" s="59"/>
      <c r="Y8" s="59"/>
      <c r="Z8" s="59"/>
      <c r="AA8" s="59"/>
      <c r="AB8" s="59"/>
      <c r="AC8" s="59"/>
      <c r="AD8" s="59"/>
      <c r="AE8" s="59"/>
      <c r="AF8" s="59"/>
    </row>
    <row r="9" spans="2:32" ht="15.75" thickBot="1" x14ac:dyDescent="0.3">
      <c r="B9" s="19" t="s">
        <v>26</v>
      </c>
      <c r="C9" s="17">
        <f ca="1">DAYS360(C5,C6)</f>
        <v>2094</v>
      </c>
      <c r="D9" s="18"/>
      <c r="E9" s="48"/>
      <c r="F9" s="392" t="s">
        <v>90</v>
      </c>
      <c r="G9" s="393"/>
      <c r="H9" s="105">
        <f>H8+H7</f>
        <v>29483.524440000005</v>
      </c>
      <c r="I9" s="106" t="s">
        <v>25</v>
      </c>
      <c r="J9" s="48"/>
      <c r="K9" s="58"/>
      <c r="L9" s="208" t="s">
        <v>151</v>
      </c>
      <c r="M9" s="209">
        <f>Quincena!D10</f>
        <v>45000</v>
      </c>
      <c r="N9" s="26" t="s">
        <v>25</v>
      </c>
      <c r="P9" s="401"/>
      <c r="Q9" s="402"/>
      <c r="R9" s="403"/>
      <c r="T9" s="59"/>
      <c r="U9" s="59"/>
      <c r="V9" s="59"/>
      <c r="W9" s="59"/>
      <c r="X9" s="59"/>
      <c r="Y9" s="59"/>
      <c r="Z9" s="59"/>
      <c r="AA9" s="59"/>
      <c r="AB9" s="59"/>
      <c r="AC9" s="59"/>
      <c r="AD9" s="59"/>
      <c r="AE9" s="59"/>
      <c r="AF9" s="59"/>
    </row>
    <row r="10" spans="2:32" ht="15.75" thickBot="1" x14ac:dyDescent="0.3">
      <c r="B10" s="19" t="s">
        <v>27</v>
      </c>
      <c r="C10" s="6">
        <f ca="1">ROUNDDOWN(C9/30,0)</f>
        <v>69</v>
      </c>
      <c r="D10" s="18"/>
      <c r="E10" s="48"/>
      <c r="F10" s="104"/>
      <c r="G10" s="104"/>
      <c r="H10" s="104"/>
      <c r="I10" s="104"/>
      <c r="J10" s="48"/>
      <c r="K10" s="58"/>
      <c r="L10" s="62"/>
      <c r="M10" s="99"/>
      <c r="N10" s="63"/>
      <c r="P10" s="401"/>
      <c r="Q10" s="402"/>
      <c r="R10" s="403"/>
      <c r="T10" s="59"/>
      <c r="U10" s="59"/>
      <c r="V10" s="59"/>
      <c r="W10" s="59"/>
      <c r="X10" s="59"/>
      <c r="Y10" s="59"/>
      <c r="Z10" s="59"/>
      <c r="AA10" s="59"/>
      <c r="AB10" s="59"/>
      <c r="AC10" s="59"/>
      <c r="AD10" s="59"/>
      <c r="AE10" s="59"/>
      <c r="AF10" s="59"/>
    </row>
    <row r="11" spans="2:32" ht="15.75" thickBot="1" x14ac:dyDescent="0.3">
      <c r="B11" s="20" t="s">
        <v>29</v>
      </c>
      <c r="C11" s="200">
        <f ca="1">ROUNDDOWN(C10/12,0)</f>
        <v>5</v>
      </c>
      <c r="D11" s="22"/>
      <c r="E11" s="48"/>
      <c r="F11" s="35" t="s">
        <v>28</v>
      </c>
      <c r="G11" s="32"/>
      <c r="H11" s="32"/>
      <c r="I11" s="61" t="s">
        <v>46</v>
      </c>
      <c r="J11" s="48"/>
      <c r="K11" s="58"/>
      <c r="L11" s="208" t="s">
        <v>152</v>
      </c>
      <c r="M11" s="209">
        <f ca="1">Quincena!D14</f>
        <v>39426.923076923078</v>
      </c>
      <c r="N11" s="26" t="s">
        <v>25</v>
      </c>
      <c r="P11" s="401"/>
      <c r="Q11" s="402"/>
      <c r="R11" s="403"/>
      <c r="T11" s="59"/>
      <c r="U11" s="59"/>
      <c r="V11" s="59"/>
      <c r="W11" s="59"/>
      <c r="X11" s="59"/>
      <c r="Y11" s="59"/>
      <c r="Z11" s="59"/>
      <c r="AA11" s="59"/>
      <c r="AB11" s="59"/>
      <c r="AC11" s="59"/>
      <c r="AD11" s="59"/>
      <c r="AE11" s="59"/>
      <c r="AF11" s="59"/>
    </row>
    <row r="12" spans="2:32" ht="15.75" thickBot="1" x14ac:dyDescent="0.3">
      <c r="B12" s="48"/>
      <c r="C12" s="48"/>
      <c r="D12" s="48"/>
      <c r="E12" s="48"/>
      <c r="F12" s="16" t="s">
        <v>24</v>
      </c>
      <c r="G12" s="21"/>
      <c r="H12" s="38">
        <f>Utilidades!F28</f>
        <v>179100</v>
      </c>
      <c r="I12" s="33" t="s">
        <v>25</v>
      </c>
      <c r="J12" s="48"/>
      <c r="K12" s="27"/>
      <c r="L12" s="21"/>
      <c r="M12" s="21"/>
      <c r="N12" s="22"/>
      <c r="P12" s="404"/>
      <c r="Q12" s="405"/>
      <c r="R12" s="406"/>
      <c r="T12" s="59"/>
      <c r="U12" s="59"/>
      <c r="V12" s="59"/>
      <c r="W12" s="59"/>
      <c r="X12" s="59"/>
      <c r="Y12" s="59"/>
      <c r="Z12" s="59"/>
      <c r="AA12" s="59"/>
      <c r="AB12" s="59"/>
      <c r="AC12" s="59"/>
      <c r="AD12" s="59"/>
      <c r="AE12" s="59"/>
      <c r="AF12" s="59"/>
    </row>
    <row r="13" spans="2:32" ht="15.75" thickBot="1" x14ac:dyDescent="0.3">
      <c r="B13" s="419" t="s">
        <v>30</v>
      </c>
      <c r="C13" s="420"/>
      <c r="D13" s="421"/>
      <c r="E13" s="48"/>
      <c r="F13" s="48"/>
      <c r="G13" s="48"/>
      <c r="H13" s="48"/>
      <c r="I13" s="52"/>
      <c r="J13" s="48"/>
      <c r="K13" s="48"/>
      <c r="L13" s="48"/>
      <c r="M13" s="48"/>
      <c r="N13" s="48"/>
      <c r="T13" s="59"/>
      <c r="U13" s="59"/>
      <c r="V13" s="59"/>
      <c r="W13" s="59"/>
      <c r="X13" s="59"/>
      <c r="Y13" s="59"/>
      <c r="Z13" s="59"/>
      <c r="AA13" s="59"/>
      <c r="AB13" s="59"/>
      <c r="AC13" s="59"/>
      <c r="AD13" s="59"/>
      <c r="AE13" s="59"/>
      <c r="AF13" s="59"/>
    </row>
    <row r="14" spans="2:32" ht="15" customHeight="1" x14ac:dyDescent="0.25">
      <c r="B14" s="19" t="s">
        <v>32</v>
      </c>
      <c r="C14" s="28">
        <v>40638</v>
      </c>
      <c r="D14" s="18" t="s">
        <v>23</v>
      </c>
      <c r="E14" s="48"/>
      <c r="F14" s="36" t="s">
        <v>31</v>
      </c>
      <c r="G14" s="34"/>
      <c r="H14" s="34"/>
      <c r="I14" s="129" t="s">
        <v>46</v>
      </c>
      <c r="J14" s="48"/>
      <c r="K14" s="372" t="s">
        <v>217</v>
      </c>
      <c r="L14" s="373"/>
      <c r="M14" s="373"/>
      <c r="N14" s="374"/>
      <c r="T14" s="59"/>
      <c r="U14" s="59"/>
      <c r="V14" s="59"/>
      <c r="W14" s="59"/>
      <c r="X14" s="59"/>
      <c r="Y14" s="59"/>
      <c r="Z14" s="59"/>
      <c r="AA14" s="59"/>
      <c r="AB14" s="59"/>
      <c r="AC14" s="59"/>
      <c r="AD14" s="59"/>
      <c r="AE14" s="59"/>
      <c r="AF14" s="59"/>
    </row>
    <row r="15" spans="2:32" ht="15.75" customHeight="1" thickBot="1" x14ac:dyDescent="0.3">
      <c r="B15" s="19" t="s">
        <v>34</v>
      </c>
      <c r="C15" s="28">
        <v>177</v>
      </c>
      <c r="D15" s="18" t="s">
        <v>23</v>
      </c>
      <c r="E15" s="48"/>
      <c r="F15" s="16" t="s">
        <v>33</v>
      </c>
      <c r="G15" s="21"/>
      <c r="H15" s="38">
        <f ca="1">Descuentos!C36</f>
        <v>5573.0769230769238</v>
      </c>
      <c r="I15" s="33" t="s">
        <v>25</v>
      </c>
      <c r="J15" s="48"/>
      <c r="K15" s="375"/>
      <c r="L15" s="376"/>
      <c r="M15" s="376"/>
      <c r="N15" s="377"/>
      <c r="T15" s="59"/>
      <c r="U15" s="59"/>
      <c r="V15" s="59"/>
      <c r="W15" s="59"/>
      <c r="X15" s="59"/>
      <c r="Y15" s="59"/>
      <c r="Z15" s="59"/>
      <c r="AA15" s="59"/>
      <c r="AB15" s="59"/>
      <c r="AC15" s="59"/>
      <c r="AD15" s="59"/>
      <c r="AE15" s="59"/>
      <c r="AF15" s="59"/>
    </row>
    <row r="16" spans="2:32" ht="15.75" thickBot="1" x14ac:dyDescent="0.3">
      <c r="B16" s="19" t="s">
        <v>35</v>
      </c>
      <c r="C16" s="28">
        <v>16.05</v>
      </c>
      <c r="D16" s="18" t="s">
        <v>36</v>
      </c>
      <c r="E16" s="48"/>
      <c r="F16" s="48"/>
      <c r="G16" s="48"/>
      <c r="H16" s="48"/>
      <c r="I16" s="52"/>
      <c r="J16" s="48"/>
      <c r="K16" s="375"/>
      <c r="L16" s="376"/>
      <c r="M16" s="376"/>
      <c r="N16" s="377"/>
      <c r="T16" s="59"/>
      <c r="U16" s="59"/>
      <c r="V16" s="59"/>
      <c r="W16" s="59"/>
      <c r="X16" s="59"/>
      <c r="Y16" s="59"/>
      <c r="Z16" s="59"/>
      <c r="AA16" s="59"/>
      <c r="AB16" s="59"/>
      <c r="AC16" s="59"/>
      <c r="AD16" s="59"/>
      <c r="AE16" s="59"/>
      <c r="AF16" s="59"/>
    </row>
    <row r="17" spans="2:32" ht="15.75" thickBot="1" x14ac:dyDescent="0.3">
      <c r="B17" s="30" t="s">
        <v>38</v>
      </c>
      <c r="C17" s="31">
        <v>52</v>
      </c>
      <c r="D17" s="22"/>
      <c r="E17" s="48"/>
      <c r="F17" s="39" t="s">
        <v>37</v>
      </c>
      <c r="G17" s="37"/>
      <c r="H17" s="37"/>
      <c r="I17" s="85" t="s">
        <v>46</v>
      </c>
      <c r="J17" s="48"/>
      <c r="K17" s="375"/>
      <c r="L17" s="376"/>
      <c r="M17" s="376"/>
      <c r="N17" s="377"/>
      <c r="T17" s="59"/>
      <c r="U17" s="59"/>
      <c r="V17" s="59"/>
      <c r="W17" s="59"/>
      <c r="X17" s="59"/>
      <c r="Y17" s="59"/>
      <c r="Z17" s="59"/>
      <c r="AA17" s="59"/>
      <c r="AB17" s="59"/>
      <c r="AC17" s="59"/>
      <c r="AD17" s="59"/>
      <c r="AE17" s="59"/>
      <c r="AF17" s="59"/>
    </row>
    <row r="18" spans="2:32" ht="15.75" thickBot="1" x14ac:dyDescent="0.3">
      <c r="B18" s="104"/>
      <c r="C18" s="104"/>
      <c r="D18" s="104"/>
      <c r="E18" s="48"/>
      <c r="F18" s="16" t="s">
        <v>24</v>
      </c>
      <c r="G18" s="21"/>
      <c r="H18" s="38">
        <f ca="1">Vacaciones!F49</f>
        <v>7677.2692307692296</v>
      </c>
      <c r="I18" s="33" t="s">
        <v>25</v>
      </c>
      <c r="J18" s="48"/>
      <c r="K18" s="375"/>
      <c r="L18" s="376"/>
      <c r="M18" s="376"/>
      <c r="N18" s="377"/>
      <c r="T18" s="59"/>
      <c r="U18" s="59"/>
      <c r="V18" s="59"/>
      <c r="W18" s="59"/>
      <c r="X18" s="59"/>
      <c r="Y18" s="59"/>
      <c r="Z18" s="59"/>
      <c r="AA18" s="59"/>
      <c r="AB18" s="59"/>
      <c r="AC18" s="59"/>
      <c r="AD18" s="59"/>
      <c r="AE18" s="59"/>
      <c r="AF18" s="59"/>
    </row>
    <row r="19" spans="2:32" ht="15.75" thickBot="1" x14ac:dyDescent="0.3">
      <c r="B19" s="359" t="s">
        <v>161</v>
      </c>
      <c r="C19" s="360"/>
      <c r="D19" s="361"/>
      <c r="E19" s="48"/>
      <c r="F19" s="48"/>
      <c r="G19" s="48"/>
      <c r="H19" s="48"/>
      <c r="I19" s="48"/>
      <c r="J19" s="49"/>
      <c r="K19" s="375"/>
      <c r="L19" s="376"/>
      <c r="M19" s="376"/>
      <c r="N19" s="377"/>
      <c r="T19" s="59"/>
      <c r="U19" s="59"/>
      <c r="V19" s="59"/>
      <c r="W19" s="59"/>
      <c r="X19" s="59"/>
      <c r="Y19" s="59"/>
      <c r="Z19" s="59"/>
      <c r="AA19" s="59"/>
      <c r="AB19" s="59"/>
      <c r="AC19" s="59"/>
      <c r="AD19" s="59"/>
      <c r="AE19" s="59"/>
      <c r="AF19" s="59"/>
    </row>
    <row r="20" spans="2:32" ht="15.75" thickBot="1" x14ac:dyDescent="0.3">
      <c r="B20" s="362"/>
      <c r="C20" s="363"/>
      <c r="D20" s="364"/>
      <c r="E20" s="48"/>
      <c r="F20" s="40" t="s">
        <v>39</v>
      </c>
      <c r="G20" s="41"/>
      <c r="H20" s="41"/>
      <c r="I20" s="133" t="s">
        <v>46</v>
      </c>
      <c r="J20" s="49"/>
      <c r="K20" s="375"/>
      <c r="L20" s="376"/>
      <c r="M20" s="376"/>
      <c r="N20" s="377"/>
      <c r="T20" s="59"/>
      <c r="U20" s="59"/>
      <c r="V20" s="59"/>
      <c r="W20" s="59"/>
      <c r="X20" s="59"/>
      <c r="Y20" s="59"/>
      <c r="Z20" s="59"/>
      <c r="AA20" s="59"/>
      <c r="AB20" s="59"/>
      <c r="AC20" s="59"/>
      <c r="AD20" s="59"/>
      <c r="AE20" s="59"/>
      <c r="AF20" s="59"/>
    </row>
    <row r="21" spans="2:32" ht="15.75" thickBot="1" x14ac:dyDescent="0.3">
      <c r="B21" s="104"/>
      <c r="C21" s="104"/>
      <c r="D21" s="104"/>
      <c r="E21" s="48"/>
      <c r="F21" s="58" t="s">
        <v>40</v>
      </c>
      <c r="G21" s="17"/>
      <c r="H21" s="134" t="s">
        <v>41</v>
      </c>
      <c r="I21" s="18"/>
      <c r="J21" s="49"/>
      <c r="K21" s="375"/>
      <c r="L21" s="376"/>
      <c r="M21" s="376"/>
      <c r="N21" s="377"/>
      <c r="T21" s="59"/>
      <c r="U21" s="59"/>
      <c r="V21" s="59"/>
      <c r="W21" s="59"/>
      <c r="X21" s="59"/>
      <c r="Y21" s="59"/>
      <c r="Z21" s="59"/>
      <c r="AA21" s="59"/>
      <c r="AB21" s="59"/>
      <c r="AC21" s="59"/>
      <c r="AD21" s="59"/>
      <c r="AE21" s="59"/>
      <c r="AF21" s="59"/>
    </row>
    <row r="22" spans="2:32" ht="15.75" thickBot="1" x14ac:dyDescent="0.3">
      <c r="B22" s="350" t="s">
        <v>48</v>
      </c>
      <c r="C22" s="351"/>
      <c r="D22" s="352"/>
      <c r="E22" s="48"/>
      <c r="F22" s="16" t="s">
        <v>42</v>
      </c>
      <c r="G22" s="21"/>
      <c r="H22" s="47">
        <f>'Cesta T'!C7</f>
        <v>63720</v>
      </c>
      <c r="I22" s="22" t="s">
        <v>23</v>
      </c>
      <c r="J22" s="49"/>
      <c r="K22" s="378"/>
      <c r="L22" s="379"/>
      <c r="M22" s="379"/>
      <c r="N22" s="380"/>
      <c r="T22" s="59"/>
      <c r="U22" s="59"/>
      <c r="V22" s="59"/>
      <c r="W22" s="59"/>
      <c r="X22" s="59"/>
      <c r="Y22" s="59"/>
      <c r="Z22" s="59"/>
      <c r="AA22" s="59"/>
      <c r="AB22" s="59"/>
      <c r="AC22" s="59"/>
      <c r="AD22" s="59"/>
      <c r="AE22" s="59"/>
      <c r="AF22" s="59"/>
    </row>
    <row r="23" spans="2:32" ht="15.75" thickBot="1" x14ac:dyDescent="0.3">
      <c r="B23" s="353"/>
      <c r="C23" s="354"/>
      <c r="D23" s="355"/>
      <c r="E23" s="48"/>
      <c r="F23" s="104"/>
      <c r="G23" s="104"/>
      <c r="H23" s="104"/>
      <c r="I23" s="104"/>
      <c r="J23" s="49"/>
      <c r="K23" s="104"/>
      <c r="L23" s="104"/>
      <c r="M23" s="104"/>
      <c r="N23" s="104"/>
      <c r="T23" s="59"/>
      <c r="U23" s="59"/>
      <c r="V23" s="59"/>
      <c r="W23" s="59"/>
      <c r="X23" s="59"/>
      <c r="Y23" s="59"/>
      <c r="Z23" s="59"/>
      <c r="AA23" s="59"/>
      <c r="AB23" s="59"/>
      <c r="AC23" s="59"/>
      <c r="AD23" s="59"/>
      <c r="AE23" s="59"/>
      <c r="AF23" s="59"/>
    </row>
    <row r="24" spans="2:32" ht="15.75" customHeight="1" thickBot="1" x14ac:dyDescent="0.3">
      <c r="B24" s="356"/>
      <c r="C24" s="357"/>
      <c r="D24" s="358"/>
      <c r="E24" s="48"/>
      <c r="F24" s="416" t="s">
        <v>49</v>
      </c>
      <c r="G24" s="417"/>
      <c r="H24" s="417"/>
      <c r="I24" s="418"/>
      <c r="J24" s="49"/>
      <c r="K24" s="219"/>
      <c r="L24" s="220"/>
      <c r="M24" s="220"/>
      <c r="N24" s="221"/>
      <c r="P24" s="422" t="s">
        <v>220</v>
      </c>
      <c r="Q24" s="423"/>
      <c r="R24" s="302"/>
      <c r="T24" s="59"/>
      <c r="U24" s="59"/>
      <c r="V24" s="59"/>
      <c r="W24" s="59"/>
      <c r="X24" s="59"/>
      <c r="Y24" s="59"/>
      <c r="Z24" s="59"/>
      <c r="AA24" s="59"/>
      <c r="AB24" s="59"/>
      <c r="AC24" s="59"/>
      <c r="AD24" s="59"/>
      <c r="AE24" s="59"/>
      <c r="AF24" s="59"/>
    </row>
    <row r="25" spans="2:32" ht="15.75" thickBot="1" x14ac:dyDescent="0.3">
      <c r="B25" s="48"/>
      <c r="C25" s="48"/>
      <c r="D25" s="48"/>
      <c r="E25" s="48"/>
      <c r="F25" s="386" t="s">
        <v>50</v>
      </c>
      <c r="G25" s="387"/>
      <c r="H25" s="387"/>
      <c r="I25" s="388"/>
      <c r="J25" s="48"/>
      <c r="K25" s="222"/>
      <c r="L25" s="223"/>
      <c r="M25" s="223"/>
      <c r="N25" s="224"/>
      <c r="P25" s="424"/>
      <c r="Q25" s="425"/>
      <c r="R25" s="303"/>
      <c r="T25" s="59"/>
      <c r="U25" s="59"/>
      <c r="V25" s="59"/>
      <c r="W25" s="59"/>
      <c r="X25" s="59"/>
      <c r="Y25" s="59"/>
      <c r="Z25" s="59"/>
      <c r="AA25" s="59"/>
      <c r="AB25" s="59"/>
      <c r="AC25" s="59"/>
      <c r="AD25" s="59"/>
      <c r="AE25" s="59"/>
      <c r="AF25" s="59"/>
    </row>
    <row r="26" spans="2:32" ht="15.75" thickBot="1" x14ac:dyDescent="0.3">
      <c r="B26" s="299" t="s">
        <v>43</v>
      </c>
      <c r="C26" s="43"/>
      <c r="D26" s="44"/>
      <c r="E26" s="48"/>
      <c r="F26" s="104"/>
      <c r="G26" s="104"/>
      <c r="H26" s="104"/>
      <c r="I26" s="104"/>
      <c r="J26" s="49"/>
      <c r="K26" s="222"/>
      <c r="L26" s="211"/>
      <c r="M26" s="381" t="s">
        <v>164</v>
      </c>
      <c r="N26" s="382"/>
      <c r="P26" s="424"/>
      <c r="Q26" s="425"/>
      <c r="R26" s="303"/>
      <c r="T26" s="59"/>
      <c r="U26" s="59"/>
      <c r="V26" s="59"/>
      <c r="W26" s="59"/>
      <c r="X26" s="59"/>
      <c r="Y26" s="59"/>
      <c r="Z26" s="59"/>
      <c r="AA26" s="59"/>
      <c r="AB26" s="59"/>
      <c r="AC26" s="59"/>
      <c r="AD26" s="59"/>
      <c r="AE26" s="59"/>
      <c r="AF26" s="59"/>
    </row>
    <row r="27" spans="2:32" ht="15.75" thickBot="1" x14ac:dyDescent="0.3">
      <c r="B27" s="45" t="s">
        <v>44</v>
      </c>
      <c r="C27" s="21"/>
      <c r="D27" s="22"/>
      <c r="E27" s="48"/>
      <c r="F27" s="383" t="s">
        <v>170</v>
      </c>
      <c r="G27" s="384"/>
      <c r="H27" s="384"/>
      <c r="I27" s="385"/>
      <c r="J27" s="49"/>
      <c r="K27" s="222"/>
      <c r="L27" s="223"/>
      <c r="M27" s="223"/>
      <c r="N27" s="224"/>
      <c r="P27" s="424"/>
      <c r="Q27" s="425"/>
      <c r="R27" s="303"/>
      <c r="T27" s="59"/>
      <c r="U27" s="59"/>
      <c r="V27" s="59"/>
      <c r="W27" s="59"/>
      <c r="X27" s="59"/>
      <c r="Y27" s="59"/>
      <c r="Z27" s="59"/>
      <c r="AA27" s="59"/>
      <c r="AB27" s="59"/>
      <c r="AC27" s="59"/>
      <c r="AD27" s="59"/>
      <c r="AE27" s="59"/>
      <c r="AF27" s="59"/>
    </row>
    <row r="28" spans="2:32" ht="15.75" thickBot="1" x14ac:dyDescent="0.3">
      <c r="B28" s="53"/>
      <c r="C28" s="54"/>
      <c r="D28" s="55"/>
      <c r="E28" s="48"/>
      <c r="F28" s="365" t="s">
        <v>171</v>
      </c>
      <c r="G28" s="366"/>
      <c r="H28" s="366"/>
      <c r="I28" s="367"/>
      <c r="J28" s="50"/>
      <c r="K28" s="225"/>
      <c r="L28" s="226"/>
      <c r="M28" s="226"/>
      <c r="N28" s="227"/>
      <c r="P28" s="426"/>
      <c r="Q28" s="427"/>
      <c r="R28" s="304"/>
      <c r="T28" s="59"/>
      <c r="U28" s="59"/>
      <c r="V28" s="59"/>
      <c r="W28" s="59"/>
      <c r="X28" s="59"/>
      <c r="Y28" s="59"/>
      <c r="Z28" s="59"/>
      <c r="AA28" s="59"/>
      <c r="AB28" s="59"/>
      <c r="AC28" s="59"/>
      <c r="AD28" s="59"/>
      <c r="AE28" s="59"/>
      <c r="AF28" s="59"/>
    </row>
    <row r="29" spans="2:32" x14ac:dyDescent="0.25">
      <c r="B29" s="56"/>
      <c r="C29" s="46"/>
      <c r="D29" s="57"/>
      <c r="E29" s="48"/>
      <c r="F29" s="371" t="s">
        <v>45</v>
      </c>
      <c r="G29" s="371"/>
      <c r="H29" s="371"/>
      <c r="I29" s="371"/>
      <c r="J29" s="371"/>
      <c r="K29" s="371"/>
      <c r="L29" s="371"/>
      <c r="M29" s="371"/>
      <c r="N29" s="371"/>
      <c r="T29" s="59"/>
      <c r="U29" s="59"/>
      <c r="V29" s="59"/>
      <c r="W29" s="59"/>
      <c r="X29" s="59"/>
      <c r="Y29" s="59"/>
      <c r="Z29" s="59"/>
      <c r="AA29" s="59"/>
      <c r="AB29" s="59"/>
      <c r="AC29" s="59"/>
      <c r="AD29" s="59"/>
      <c r="AE29" s="59"/>
      <c r="AF29" s="59"/>
    </row>
    <row r="30" spans="2:32" x14ac:dyDescent="0.25">
      <c r="B30" s="56"/>
      <c r="C30" s="46"/>
      <c r="D30" s="57"/>
      <c r="E30" s="48"/>
      <c r="F30" s="371"/>
      <c r="G30" s="371"/>
      <c r="H30" s="371"/>
      <c r="I30" s="371"/>
      <c r="J30" s="371"/>
      <c r="K30" s="371"/>
      <c r="L30" s="371"/>
      <c r="M30" s="371"/>
      <c r="N30" s="371"/>
      <c r="T30" s="59"/>
      <c r="U30" s="59"/>
      <c r="V30" s="59"/>
      <c r="W30" s="59"/>
      <c r="X30" s="59"/>
      <c r="Y30" s="59"/>
      <c r="Z30" s="59"/>
      <c r="AA30" s="59"/>
      <c r="AB30" s="59"/>
      <c r="AC30" s="59"/>
      <c r="AD30" s="59"/>
      <c r="AE30" s="59"/>
      <c r="AF30" s="59"/>
    </row>
    <row r="31" spans="2:32" ht="15.75" thickBot="1" x14ac:dyDescent="0.3">
      <c r="B31" s="368" t="s">
        <v>157</v>
      </c>
      <c r="C31" s="369"/>
      <c r="D31" s="370"/>
      <c r="E31" s="48"/>
      <c r="F31" s="371"/>
      <c r="G31" s="371"/>
      <c r="H31" s="371"/>
      <c r="I31" s="371"/>
      <c r="J31" s="371"/>
      <c r="K31" s="371"/>
      <c r="L31" s="371"/>
      <c r="M31" s="371"/>
      <c r="N31" s="371"/>
      <c r="T31" s="59"/>
      <c r="U31" s="59"/>
      <c r="V31" s="59"/>
      <c r="W31" s="59"/>
      <c r="X31" s="59"/>
      <c r="Y31" s="59"/>
      <c r="Z31" s="59"/>
      <c r="AA31" s="59"/>
      <c r="AB31" s="59"/>
      <c r="AC31" s="59"/>
      <c r="AD31" s="59"/>
      <c r="AE31" s="59"/>
      <c r="AF31" s="59"/>
    </row>
    <row r="32" spans="2:32" s="59" customFormat="1" ht="15.75" thickBot="1" x14ac:dyDescent="0.3"/>
    <row r="33" spans="2:14" s="59" customFormat="1" ht="15" customHeight="1" x14ac:dyDescent="0.25">
      <c r="B33" s="341" t="s">
        <v>163</v>
      </c>
      <c r="C33" s="342"/>
      <c r="D33" s="342"/>
      <c r="E33" s="342"/>
      <c r="F33" s="342"/>
      <c r="G33" s="342"/>
      <c r="H33" s="342"/>
      <c r="I33" s="342"/>
      <c r="J33" s="342"/>
      <c r="K33" s="342"/>
      <c r="L33" s="342"/>
      <c r="M33" s="342"/>
      <c r="N33" s="343"/>
    </row>
    <row r="34" spans="2:14" s="59" customFormat="1" ht="15" customHeight="1" x14ac:dyDescent="0.25">
      <c r="B34" s="344"/>
      <c r="C34" s="345"/>
      <c r="D34" s="345"/>
      <c r="E34" s="345"/>
      <c r="F34" s="345"/>
      <c r="G34" s="345"/>
      <c r="H34" s="345"/>
      <c r="I34" s="345"/>
      <c r="J34" s="345"/>
      <c r="K34" s="345"/>
      <c r="L34" s="345"/>
      <c r="M34" s="345"/>
      <c r="N34" s="346"/>
    </row>
    <row r="35" spans="2:14" s="59" customFormat="1" ht="15" customHeight="1" x14ac:dyDescent="0.25">
      <c r="B35" s="344"/>
      <c r="C35" s="345"/>
      <c r="D35" s="345"/>
      <c r="E35" s="345"/>
      <c r="F35" s="345"/>
      <c r="G35" s="345"/>
      <c r="H35" s="345"/>
      <c r="I35" s="345"/>
      <c r="J35" s="345"/>
      <c r="K35" s="345"/>
      <c r="L35" s="345"/>
      <c r="M35" s="345"/>
      <c r="N35" s="346"/>
    </row>
    <row r="36" spans="2:14" s="59" customFormat="1" ht="15.75" customHeight="1" thickBot="1" x14ac:dyDescent="0.3">
      <c r="B36" s="347"/>
      <c r="C36" s="348"/>
      <c r="D36" s="348"/>
      <c r="E36" s="348"/>
      <c r="F36" s="348"/>
      <c r="G36" s="348"/>
      <c r="H36" s="348"/>
      <c r="I36" s="348"/>
      <c r="J36" s="348"/>
      <c r="K36" s="348"/>
      <c r="L36" s="348"/>
      <c r="M36" s="348"/>
      <c r="N36" s="349"/>
    </row>
    <row r="37" spans="2:14" s="59" customFormat="1" x14ac:dyDescent="0.25"/>
    <row r="38" spans="2:14" s="59" customFormat="1" x14ac:dyDescent="0.25"/>
    <row r="39" spans="2:14" s="59" customFormat="1" x14ac:dyDescent="0.25"/>
    <row r="40" spans="2:14" s="59" customFormat="1" x14ac:dyDescent="0.25"/>
    <row r="41" spans="2:14" s="59" customFormat="1" x14ac:dyDescent="0.25"/>
    <row r="42" spans="2:14" s="59" customFormat="1" x14ac:dyDescent="0.25"/>
    <row r="43" spans="2:14" s="59" customFormat="1" x14ac:dyDescent="0.25"/>
    <row r="44" spans="2:14" s="59" customFormat="1" x14ac:dyDescent="0.25"/>
    <row r="45" spans="2:14" s="59" customFormat="1" x14ac:dyDescent="0.25"/>
    <row r="46" spans="2:14" s="59" customFormat="1" x14ac:dyDescent="0.25"/>
    <row r="47" spans="2:14" s="59" customFormat="1" x14ac:dyDescent="0.25"/>
    <row r="48" spans="2:14" s="59" customFormat="1" x14ac:dyDescent="0.25"/>
    <row r="49" spans="2:3" s="59" customFormat="1" x14ac:dyDescent="0.25"/>
    <row r="50" spans="2:3" s="59" customFormat="1" x14ac:dyDescent="0.25"/>
    <row r="51" spans="2:3" s="59" customFormat="1" x14ac:dyDescent="0.25"/>
    <row r="52" spans="2:3" s="59" customFormat="1" x14ac:dyDescent="0.25"/>
    <row r="53" spans="2:3" s="59" customFormat="1" x14ac:dyDescent="0.25"/>
    <row r="54" spans="2:3" x14ac:dyDescent="0.25">
      <c r="B54" s="84">
        <f ca="1">DAY(TODAY())</f>
        <v>16</v>
      </c>
      <c r="C54" s="84">
        <v>0</v>
      </c>
    </row>
  </sheetData>
  <sheetProtection algorithmName="SHA-512" hashValue="iwnrG8J0xBJtrflzpNNPQCeCQbRu/M5TP/g/wc/jq8n0SWFNjRIPh8Ybof669hrUCdZB3PB/XZc8WnFvZZCkXg==" saltValue="2j8ugWrJEm7oI0cff6I4FQ==" spinCount="100000" sheet="1"/>
  <protectedRanges>
    <protectedRange sqref="B54:C54" name="Actualizacion de archivo"/>
    <protectedRange sqref="C5" name="Rango1"/>
    <protectedRange sqref="C6" name="Rango2"/>
    <protectedRange sqref="C14:C17" name="Rango3"/>
    <protectedRange sqref="H21" name="Rango4"/>
  </protectedRanges>
  <mergeCells count="21">
    <mergeCell ref="P24:Q28"/>
    <mergeCell ref="B4:D4"/>
    <mergeCell ref="K4:N4"/>
    <mergeCell ref="B2:N2"/>
    <mergeCell ref="F24:I24"/>
    <mergeCell ref="B13:D13"/>
    <mergeCell ref="F4:I4"/>
    <mergeCell ref="F9:G9"/>
    <mergeCell ref="F8:G8"/>
    <mergeCell ref="F7:G7"/>
    <mergeCell ref="P4:R12"/>
    <mergeCell ref="B33:N36"/>
    <mergeCell ref="B22:D24"/>
    <mergeCell ref="B19:D20"/>
    <mergeCell ref="F28:I28"/>
    <mergeCell ref="B31:D31"/>
    <mergeCell ref="F29:N31"/>
    <mergeCell ref="K14:N22"/>
    <mergeCell ref="M26:N26"/>
    <mergeCell ref="F27:I27"/>
    <mergeCell ref="F25:I25"/>
  </mergeCells>
  <dataValidations count="2">
    <dataValidation type="list" allowBlank="1" showInputMessage="1" showErrorMessage="1" sqref="H21">
      <formula1>"SI,NO"</formula1>
    </dataValidation>
    <dataValidation allowBlank="1" showInputMessage="1" showErrorMessage="1" promptTitle="Aviso" prompt="Este programa lo vende y distribuye fidelsmc en mercadolibre, si lo ha comprado a otra personal, exija que le devuelvan su dinero._x000a_Puede escribirme a mi correo fidelsmc@gmail.com_x000a_" sqref="C8"/>
  </dataValidations>
  <hyperlinks>
    <hyperlink ref="B27" r:id="rId1"/>
    <hyperlink ref="B31:D31" r:id="rId2" display="http://fidelsmc.blogspot.com/"/>
    <hyperlink ref="I11" location="Utilidades!A1" display="(VER)"/>
    <hyperlink ref="F25:I25" location="Liquidacion!A1" display="Calcular Liquidación"/>
    <hyperlink ref="I17" location="Vacaciones!A1" display="(VER)"/>
    <hyperlink ref="I6" location="Prestaciones!A1" display="(VER)"/>
    <hyperlink ref="I14" location="Descuentos!A1" display="(VER)"/>
    <hyperlink ref="I20" location="'Cesta T'!A1" display="(VER)"/>
    <hyperlink ref="N5" location="Quincena!A1" display="(VER)"/>
    <hyperlink ref="B33:N36" r:id="rId3" display="Ver video tutorial en youtube"/>
    <hyperlink ref="M26:N26" r:id="rId4" tooltip="Con este programa guarda y respalda tus archivos online y gratis!" display="Unete a Dropbox"/>
    <hyperlink ref="C7" location="Sueldo!D4" tooltip="Va al modulo de conversion a salario mensual" display="(VER)"/>
    <hyperlink ref="B22:D24" r:id="rId5" display="LOTTT"/>
    <hyperlink ref="B19:D20" r:id="rId6" tooltip="Descarga la Ultima version con mejoras y nuevas funciones cada 2 semanas" display="Descarga la Ultima version"/>
    <hyperlink ref="F28:I28" r:id="rId7" tooltip="Te lleva a la pagina segura de mercadopago para hacer el donativo de 30 BsF" display="DONAR"/>
    <hyperlink ref="P4:R12" r:id="rId8" location="gid=0" display="https://docs.google.com/spreadsheet/viewform?formkey=dGQ2S2tLZlQxWFpIUEswY2FlZUFFbWc6MQ - gid=0"/>
    <hyperlink ref="P24:Q28" r:id="rId9" tooltip="Ir a la ayuda en linea" display="http://adf.ly/1136946/ayuda-calculos-salariales"/>
  </hyperlinks>
  <pageMargins left="0.7" right="0.7" top="0.75" bottom="0.75" header="0.3" footer="0.3"/>
  <pageSetup orientation="portrait" r:id="rId10"/>
  <drawing r:id="rId11"/>
  <legacyDrawing r:id="rId1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5"/>
  <dimension ref="A1:T57"/>
  <sheetViews>
    <sheetView workbookViewId="0">
      <selection activeCell="F2" sqref="F2"/>
    </sheetView>
  </sheetViews>
  <sheetFormatPr baseColWidth="10" defaultColWidth="9.140625" defaultRowHeight="15" x14ac:dyDescent="0.25"/>
  <cols>
    <col min="1" max="1" width="9.140625" customWidth="1"/>
    <col min="2" max="2" width="4.28515625" customWidth="1"/>
    <col min="3" max="3" width="15.5703125" bestFit="1" customWidth="1"/>
    <col min="4" max="4" width="29.7109375" customWidth="1"/>
    <col min="5" max="5" width="4.28515625" customWidth="1"/>
  </cols>
  <sheetData>
    <row r="1" spans="1:20" s="87" customFormat="1" ht="15.75" thickBot="1" x14ac:dyDescent="0.3">
      <c r="A1" s="230"/>
      <c r="B1" s="230"/>
      <c r="C1" s="230"/>
      <c r="D1" s="230"/>
      <c r="E1" s="230"/>
      <c r="F1" s="230"/>
      <c r="G1" s="230"/>
      <c r="H1" s="230"/>
      <c r="I1" s="230"/>
      <c r="J1" s="230"/>
      <c r="K1" s="230"/>
      <c r="L1" s="230"/>
      <c r="M1" s="230"/>
      <c r="N1" s="230"/>
      <c r="O1" s="230"/>
      <c r="P1" s="230"/>
      <c r="Q1" s="230"/>
      <c r="R1" s="230"/>
      <c r="S1" s="230"/>
      <c r="T1" s="230"/>
    </row>
    <row r="2" spans="1:20" ht="15.75" thickBot="1" x14ac:dyDescent="0.3">
      <c r="A2" s="230"/>
      <c r="B2" s="428" t="s">
        <v>169</v>
      </c>
      <c r="C2" s="429"/>
      <c r="D2" s="429"/>
      <c r="E2" s="430"/>
      <c r="F2" s="233" t="s">
        <v>211</v>
      </c>
      <c r="G2" s="230"/>
      <c r="H2" s="230"/>
      <c r="I2" s="230"/>
      <c r="J2" s="230"/>
      <c r="K2" s="230"/>
      <c r="L2" s="230"/>
      <c r="M2" s="230"/>
      <c r="N2" s="230"/>
      <c r="O2" s="230"/>
      <c r="P2" s="230"/>
      <c r="Q2" s="230"/>
      <c r="R2" s="230"/>
      <c r="S2" s="230"/>
      <c r="T2" s="230"/>
    </row>
    <row r="3" spans="1:20" x14ac:dyDescent="0.25">
      <c r="A3" s="230"/>
      <c r="B3" s="219"/>
      <c r="C3" s="220"/>
      <c r="D3" s="220"/>
      <c r="E3" s="221"/>
      <c r="F3" s="230"/>
      <c r="G3" s="230"/>
      <c r="H3" s="230"/>
      <c r="I3" s="230"/>
      <c r="J3" s="230"/>
      <c r="K3" s="230"/>
      <c r="L3" s="230"/>
      <c r="M3" s="230"/>
      <c r="N3" s="230"/>
      <c r="O3" s="230"/>
      <c r="P3" s="230"/>
      <c r="Q3" s="230"/>
      <c r="R3" s="230"/>
      <c r="S3" s="230"/>
      <c r="T3" s="230"/>
    </row>
    <row r="4" spans="1:20" x14ac:dyDescent="0.25">
      <c r="A4" s="230"/>
      <c r="B4" s="222"/>
      <c r="C4" s="231" t="s">
        <v>165</v>
      </c>
      <c r="D4" s="232" t="s">
        <v>116</v>
      </c>
      <c r="E4" s="224"/>
      <c r="F4" s="233"/>
      <c r="G4" s="230"/>
      <c r="H4" s="230"/>
      <c r="I4" s="230"/>
      <c r="J4" s="230"/>
      <c r="K4" s="230"/>
      <c r="L4" s="230"/>
      <c r="M4" s="230"/>
      <c r="N4" s="230"/>
      <c r="O4" s="230"/>
      <c r="P4" s="230"/>
      <c r="Q4" s="230"/>
      <c r="R4" s="230"/>
      <c r="S4" s="230"/>
      <c r="T4" s="230"/>
    </row>
    <row r="5" spans="1:20" x14ac:dyDescent="0.25">
      <c r="A5" s="230"/>
      <c r="B5" s="222"/>
      <c r="C5" s="231" t="s">
        <v>167</v>
      </c>
      <c r="D5" s="338">
        <v>90000</v>
      </c>
      <c r="E5" s="224"/>
      <c r="F5" s="230"/>
      <c r="G5" s="230"/>
      <c r="H5" s="230"/>
      <c r="I5" s="230"/>
      <c r="J5" s="230"/>
      <c r="K5" s="230"/>
      <c r="L5" s="230"/>
      <c r="M5" s="230"/>
      <c r="N5" s="230"/>
      <c r="O5" s="230"/>
      <c r="P5" s="230"/>
      <c r="Q5" s="230"/>
      <c r="R5" s="230"/>
      <c r="S5" s="230"/>
      <c r="T5" s="230"/>
    </row>
    <row r="6" spans="1:20" x14ac:dyDescent="0.25">
      <c r="A6" s="230"/>
      <c r="B6" s="222"/>
      <c r="C6" s="231" t="s">
        <v>168</v>
      </c>
      <c r="D6" s="339">
        <f>amensual(D4,D5)</f>
        <v>90000</v>
      </c>
      <c r="E6" s="224"/>
      <c r="F6" s="230"/>
      <c r="G6" s="230"/>
      <c r="H6" s="230"/>
      <c r="I6" s="230"/>
      <c r="J6" s="230"/>
      <c r="K6" s="230"/>
      <c r="L6" s="230"/>
      <c r="M6" s="230"/>
      <c r="N6" s="230"/>
      <c r="O6" s="230"/>
      <c r="P6" s="230"/>
      <c r="Q6" s="230"/>
      <c r="R6" s="230"/>
      <c r="S6" s="230"/>
      <c r="T6" s="230"/>
    </row>
    <row r="7" spans="1:20" ht="15.75" thickBot="1" x14ac:dyDescent="0.3">
      <c r="A7" s="230"/>
      <c r="B7" s="225"/>
      <c r="C7" s="262" t="s">
        <v>197</v>
      </c>
      <c r="D7" s="340">
        <f ca="1">'Salario Integral'!E13</f>
        <v>109500</v>
      </c>
      <c r="E7" s="227"/>
      <c r="F7" s="230"/>
      <c r="G7" s="230"/>
      <c r="H7" s="230"/>
      <c r="I7" s="230"/>
      <c r="J7" s="230"/>
      <c r="K7" s="230"/>
      <c r="L7" s="230"/>
      <c r="M7" s="230"/>
      <c r="N7" s="230"/>
      <c r="O7" s="230"/>
      <c r="P7" s="230"/>
      <c r="Q7" s="230"/>
      <c r="R7" s="230"/>
      <c r="S7" s="230"/>
      <c r="T7" s="230"/>
    </row>
    <row r="8" spans="1:20" x14ac:dyDescent="0.25">
      <c r="A8" s="230"/>
      <c r="B8" s="230"/>
      <c r="C8" s="230"/>
      <c r="D8" s="230"/>
      <c r="E8" s="230"/>
      <c r="F8" s="230"/>
      <c r="G8" s="230"/>
      <c r="H8" s="230"/>
      <c r="I8" s="230"/>
      <c r="J8" s="230"/>
      <c r="K8" s="230"/>
      <c r="L8" s="230"/>
      <c r="M8" s="230"/>
      <c r="N8" s="230"/>
      <c r="O8" s="230"/>
      <c r="P8" s="230"/>
      <c r="Q8" s="230"/>
      <c r="R8" s="230"/>
      <c r="S8" s="230"/>
      <c r="T8" s="230"/>
    </row>
    <row r="9" spans="1:20" x14ac:dyDescent="0.25">
      <c r="A9" s="230"/>
      <c r="B9" s="230"/>
      <c r="C9" s="230"/>
      <c r="D9" s="230"/>
      <c r="E9" s="230"/>
      <c r="F9" s="230"/>
      <c r="G9" s="230"/>
      <c r="H9" s="230"/>
      <c r="I9" s="230"/>
      <c r="J9" s="230"/>
      <c r="K9" s="230"/>
      <c r="L9" s="230"/>
      <c r="M9" s="230"/>
      <c r="N9" s="230"/>
      <c r="O9" s="230"/>
      <c r="P9" s="230"/>
      <c r="Q9" s="230"/>
      <c r="R9" s="230"/>
      <c r="S9" s="230"/>
      <c r="T9" s="230"/>
    </row>
    <row r="10" spans="1:20" x14ac:dyDescent="0.25">
      <c r="A10" s="230"/>
      <c r="B10" s="230"/>
      <c r="C10" s="230"/>
      <c r="D10" s="230"/>
      <c r="E10" s="230"/>
      <c r="F10" s="230"/>
      <c r="G10" s="230"/>
      <c r="H10" s="230"/>
      <c r="I10" s="230"/>
      <c r="J10" s="230"/>
      <c r="K10" s="230"/>
      <c r="L10" s="230"/>
      <c r="M10" s="230"/>
      <c r="N10" s="230"/>
      <c r="O10" s="230"/>
      <c r="P10" s="230"/>
      <c r="Q10" s="230"/>
      <c r="R10" s="230"/>
      <c r="S10" s="230"/>
      <c r="T10" s="230"/>
    </row>
    <row r="11" spans="1:20" ht="14.25" customHeight="1" x14ac:dyDescent="0.25">
      <c r="A11" s="230"/>
      <c r="B11" s="230"/>
      <c r="C11" s="230"/>
      <c r="D11" s="230"/>
      <c r="E11" s="230"/>
      <c r="F11" s="230"/>
      <c r="G11" s="230"/>
      <c r="H11" s="230"/>
      <c r="I11" s="230"/>
      <c r="J11" s="230"/>
      <c r="K11" s="230"/>
      <c r="L11" s="230"/>
      <c r="M11" s="230"/>
      <c r="N11" s="230"/>
      <c r="O11" s="230"/>
      <c r="P11" s="230"/>
      <c r="Q11" s="230"/>
      <c r="R11" s="230"/>
      <c r="S11" s="230"/>
      <c r="T11" s="230"/>
    </row>
    <row r="12" spans="1:20" x14ac:dyDescent="0.25">
      <c r="A12" s="230"/>
      <c r="B12" s="230"/>
      <c r="C12" s="230"/>
      <c r="D12" s="230"/>
      <c r="E12" s="230"/>
      <c r="F12" s="230"/>
      <c r="G12" s="230"/>
      <c r="H12" s="230"/>
      <c r="I12" s="230"/>
      <c r="J12" s="230"/>
      <c r="K12" s="230"/>
      <c r="L12" s="230"/>
      <c r="M12" s="230"/>
      <c r="N12" s="230"/>
      <c r="O12" s="230"/>
      <c r="P12" s="230"/>
      <c r="Q12" s="230"/>
      <c r="R12" s="230"/>
      <c r="S12" s="230"/>
      <c r="T12" s="230"/>
    </row>
    <row r="13" spans="1:20" x14ac:dyDescent="0.25">
      <c r="A13" s="230"/>
      <c r="B13" s="230"/>
      <c r="C13" s="230"/>
      <c r="D13" s="230"/>
      <c r="E13" s="230"/>
      <c r="F13" s="230"/>
      <c r="G13" s="230"/>
      <c r="H13" s="230"/>
      <c r="I13" s="230"/>
      <c r="J13" s="230"/>
      <c r="K13" s="230"/>
      <c r="L13" s="230"/>
      <c r="M13" s="230"/>
      <c r="N13" s="230"/>
      <c r="O13" s="230"/>
      <c r="P13" s="230"/>
      <c r="Q13" s="230"/>
      <c r="R13" s="230"/>
      <c r="S13" s="230"/>
      <c r="T13" s="230"/>
    </row>
    <row r="14" spans="1:20" x14ac:dyDescent="0.25">
      <c r="A14" s="230"/>
      <c r="B14" s="230"/>
      <c r="C14" s="230"/>
      <c r="D14" s="230"/>
      <c r="E14" s="230"/>
      <c r="F14" s="230"/>
      <c r="G14" s="230"/>
      <c r="H14" s="230"/>
      <c r="I14" s="230"/>
      <c r="J14" s="230"/>
      <c r="K14" s="230"/>
      <c r="L14" s="230"/>
      <c r="M14" s="230"/>
      <c r="N14" s="230"/>
      <c r="O14" s="230"/>
      <c r="P14" s="230"/>
      <c r="Q14" s="230"/>
      <c r="R14" s="230"/>
      <c r="S14" s="230"/>
      <c r="T14" s="230"/>
    </row>
    <row r="15" spans="1:20" x14ac:dyDescent="0.25">
      <c r="A15" s="230"/>
      <c r="B15" s="230"/>
      <c r="C15" s="230"/>
      <c r="D15" s="230"/>
      <c r="E15" s="230"/>
      <c r="F15" s="230"/>
      <c r="G15" s="230"/>
      <c r="H15" s="230"/>
      <c r="I15" s="230"/>
      <c r="J15" s="230"/>
      <c r="K15" s="230"/>
      <c r="L15" s="230"/>
      <c r="M15" s="230"/>
      <c r="N15" s="230"/>
      <c r="O15" s="230"/>
      <c r="P15" s="230"/>
      <c r="Q15" s="230"/>
      <c r="R15" s="230"/>
      <c r="S15" s="230"/>
      <c r="T15" s="230"/>
    </row>
    <row r="16" spans="1:20" x14ac:dyDescent="0.25">
      <c r="A16" s="230"/>
      <c r="B16" s="230"/>
      <c r="C16" s="230"/>
      <c r="D16" s="230"/>
      <c r="E16" s="230"/>
      <c r="F16" s="230"/>
      <c r="G16" s="230"/>
      <c r="H16" s="230"/>
      <c r="I16" s="230"/>
      <c r="J16" s="230"/>
      <c r="K16" s="230"/>
      <c r="L16" s="230"/>
      <c r="M16" s="230"/>
      <c r="N16" s="230"/>
      <c r="O16" s="230"/>
      <c r="P16" s="230"/>
      <c r="Q16" s="230"/>
      <c r="R16" s="230"/>
      <c r="S16" s="230"/>
      <c r="T16" s="230"/>
    </row>
    <row r="17" spans="1:20" x14ac:dyDescent="0.25">
      <c r="A17" s="230"/>
      <c r="B17" s="230"/>
      <c r="C17" s="230"/>
      <c r="D17" s="230"/>
      <c r="E17" s="230"/>
      <c r="F17" s="230"/>
      <c r="G17" s="230"/>
      <c r="H17" s="230"/>
      <c r="I17" s="230"/>
      <c r="J17" s="230"/>
      <c r="K17" s="230"/>
      <c r="L17" s="230"/>
      <c r="M17" s="230"/>
      <c r="N17" s="230"/>
      <c r="O17" s="230"/>
      <c r="P17" s="230"/>
      <c r="Q17" s="230"/>
      <c r="R17" s="230"/>
      <c r="S17" s="230"/>
      <c r="T17" s="230"/>
    </row>
    <row r="18" spans="1:20" x14ac:dyDescent="0.25">
      <c r="A18" s="230"/>
      <c r="B18" s="230"/>
      <c r="C18" s="230"/>
      <c r="D18" s="230"/>
      <c r="E18" s="230"/>
      <c r="F18" s="230"/>
      <c r="G18" s="230"/>
      <c r="H18" s="230"/>
      <c r="I18" s="230"/>
      <c r="J18" s="230"/>
      <c r="K18" s="230"/>
      <c r="L18" s="230"/>
      <c r="M18" s="230"/>
      <c r="N18" s="230"/>
      <c r="O18" s="230"/>
      <c r="P18" s="230"/>
      <c r="Q18" s="230"/>
      <c r="R18" s="230"/>
      <c r="S18" s="230"/>
      <c r="T18" s="230"/>
    </row>
    <row r="19" spans="1:20" x14ac:dyDescent="0.25">
      <c r="A19" s="230"/>
      <c r="B19" s="230"/>
      <c r="C19" s="230"/>
      <c r="D19" s="230"/>
      <c r="E19" s="230"/>
      <c r="F19" s="230"/>
      <c r="G19" s="230"/>
      <c r="H19" s="230"/>
      <c r="I19" s="230"/>
      <c r="J19" s="230"/>
      <c r="K19" s="230"/>
      <c r="L19" s="230"/>
      <c r="M19" s="230"/>
      <c r="N19" s="230"/>
      <c r="O19" s="230"/>
      <c r="P19" s="230"/>
      <c r="Q19" s="230"/>
      <c r="R19" s="230"/>
      <c r="S19" s="230"/>
      <c r="T19" s="230"/>
    </row>
    <row r="20" spans="1:20" x14ac:dyDescent="0.25">
      <c r="A20" s="230"/>
      <c r="B20" s="230"/>
      <c r="C20" s="230"/>
      <c r="D20" s="230"/>
      <c r="E20" s="230"/>
      <c r="F20" s="230"/>
      <c r="G20" s="230"/>
      <c r="H20" s="230"/>
      <c r="I20" s="230"/>
      <c r="J20" s="230"/>
      <c r="K20" s="230"/>
      <c r="L20" s="230"/>
      <c r="M20" s="230"/>
      <c r="N20" s="230"/>
      <c r="O20" s="230"/>
      <c r="P20" s="230"/>
      <c r="Q20" s="230"/>
      <c r="R20" s="230"/>
      <c r="S20" s="230"/>
      <c r="T20" s="230"/>
    </row>
    <row r="21" spans="1:20" x14ac:dyDescent="0.25">
      <c r="A21" s="230"/>
      <c r="B21" s="230"/>
      <c r="C21" s="230"/>
      <c r="D21" s="230"/>
      <c r="E21" s="230"/>
      <c r="F21" s="230"/>
      <c r="G21" s="230"/>
      <c r="H21" s="230"/>
      <c r="I21" s="230"/>
      <c r="J21" s="230"/>
      <c r="K21" s="230"/>
      <c r="L21" s="230"/>
      <c r="M21" s="230"/>
      <c r="N21" s="230"/>
      <c r="O21" s="230"/>
      <c r="P21" s="230"/>
      <c r="Q21" s="230"/>
      <c r="R21" s="230"/>
      <c r="S21" s="230"/>
      <c r="T21" s="230"/>
    </row>
    <row r="22" spans="1:20" x14ac:dyDescent="0.25">
      <c r="A22" s="230"/>
      <c r="B22" s="230"/>
      <c r="C22" s="230"/>
      <c r="D22" s="230"/>
      <c r="E22" s="230"/>
      <c r="F22" s="230"/>
      <c r="G22" s="230"/>
      <c r="H22" s="230"/>
      <c r="I22" s="230"/>
      <c r="J22" s="230"/>
      <c r="K22" s="230"/>
      <c r="L22" s="230"/>
      <c r="M22" s="230"/>
      <c r="N22" s="230"/>
      <c r="O22" s="230"/>
      <c r="P22" s="230"/>
      <c r="Q22" s="230"/>
      <c r="R22" s="230"/>
      <c r="S22" s="230"/>
      <c r="T22" s="230"/>
    </row>
    <row r="23" spans="1:20" x14ac:dyDescent="0.25">
      <c r="A23" s="230"/>
      <c r="B23" s="230"/>
      <c r="C23" s="230"/>
      <c r="D23" s="230"/>
      <c r="E23" s="230"/>
      <c r="F23" s="230"/>
      <c r="G23" s="230"/>
      <c r="H23" s="230"/>
      <c r="I23" s="230"/>
      <c r="J23" s="230"/>
      <c r="K23" s="230"/>
      <c r="L23" s="230"/>
      <c r="M23" s="230"/>
      <c r="N23" s="230"/>
      <c r="O23" s="230"/>
      <c r="P23" s="230"/>
      <c r="Q23" s="230"/>
      <c r="R23" s="230"/>
      <c r="S23" s="230"/>
      <c r="T23" s="230"/>
    </row>
    <row r="24" spans="1:20" x14ac:dyDescent="0.25">
      <c r="A24" s="230"/>
      <c r="B24" s="230"/>
      <c r="C24" s="230"/>
      <c r="D24" s="230"/>
      <c r="E24" s="230"/>
      <c r="F24" s="230"/>
      <c r="G24" s="230"/>
      <c r="H24" s="230"/>
      <c r="I24" s="230"/>
      <c r="J24" s="230"/>
      <c r="K24" s="230"/>
      <c r="L24" s="230"/>
      <c r="M24" s="230"/>
      <c r="N24" s="230"/>
      <c r="O24" s="230"/>
      <c r="P24" s="230"/>
      <c r="Q24" s="230"/>
      <c r="R24" s="230"/>
      <c r="S24" s="230"/>
      <c r="T24" s="230"/>
    </row>
    <row r="25" spans="1:20" x14ac:dyDescent="0.25">
      <c r="A25" s="230"/>
      <c r="B25" s="230"/>
      <c r="C25" s="230"/>
      <c r="D25" s="230"/>
      <c r="E25" s="230"/>
      <c r="F25" s="230"/>
      <c r="G25" s="230"/>
      <c r="H25" s="230"/>
      <c r="I25" s="230"/>
      <c r="J25" s="230"/>
      <c r="K25" s="230"/>
      <c r="L25" s="230"/>
      <c r="M25" s="230"/>
      <c r="N25" s="230"/>
      <c r="O25" s="230"/>
      <c r="P25" s="230"/>
      <c r="Q25" s="230"/>
      <c r="R25" s="230"/>
      <c r="S25" s="230"/>
      <c r="T25" s="230"/>
    </row>
    <row r="26" spans="1:20" x14ac:dyDescent="0.25">
      <c r="A26" s="230"/>
      <c r="B26" s="230"/>
      <c r="C26" s="230"/>
      <c r="D26" s="230"/>
      <c r="E26" s="230"/>
      <c r="F26" s="230"/>
      <c r="G26" s="230"/>
      <c r="H26" s="230"/>
      <c r="I26" s="230"/>
      <c r="J26" s="230"/>
      <c r="K26" s="230"/>
      <c r="L26" s="230"/>
      <c r="M26" s="230"/>
      <c r="N26" s="230"/>
      <c r="O26" s="230"/>
      <c r="P26" s="230"/>
      <c r="Q26" s="230"/>
      <c r="R26" s="230"/>
      <c r="S26" s="230"/>
      <c r="T26" s="230"/>
    </row>
    <row r="27" spans="1:20" x14ac:dyDescent="0.25">
      <c r="A27" s="230"/>
      <c r="B27" s="230"/>
      <c r="C27" s="230"/>
      <c r="D27" s="230"/>
      <c r="E27" s="230"/>
      <c r="F27" s="230"/>
      <c r="G27" s="230"/>
      <c r="H27" s="230"/>
      <c r="I27" s="230"/>
      <c r="J27" s="230"/>
      <c r="K27" s="230"/>
      <c r="L27" s="230"/>
      <c r="M27" s="230"/>
      <c r="N27" s="230"/>
      <c r="O27" s="230"/>
      <c r="P27" s="230"/>
      <c r="Q27" s="230"/>
      <c r="R27" s="230"/>
      <c r="S27" s="230"/>
      <c r="T27" s="230"/>
    </row>
    <row r="28" spans="1:20" x14ac:dyDescent="0.25">
      <c r="A28" s="230"/>
      <c r="B28" s="230"/>
      <c r="C28" s="230"/>
      <c r="D28" s="230"/>
      <c r="E28" s="230"/>
      <c r="F28" s="230"/>
      <c r="G28" s="230"/>
      <c r="H28" s="230"/>
      <c r="I28" s="230"/>
      <c r="J28" s="230"/>
      <c r="K28" s="230"/>
      <c r="L28" s="230"/>
      <c r="M28" s="230"/>
      <c r="N28" s="230"/>
      <c r="O28" s="230"/>
      <c r="P28" s="230"/>
      <c r="Q28" s="230"/>
      <c r="R28" s="230"/>
      <c r="S28" s="230"/>
      <c r="T28" s="230"/>
    </row>
    <row r="29" spans="1:20" x14ac:dyDescent="0.25">
      <c r="A29" s="230"/>
      <c r="B29" s="230"/>
      <c r="C29" s="230"/>
      <c r="D29" s="230"/>
      <c r="E29" s="230"/>
      <c r="F29" s="230"/>
      <c r="G29" s="230"/>
      <c r="H29" s="230"/>
      <c r="I29" s="230"/>
      <c r="J29" s="230"/>
      <c r="K29" s="230"/>
      <c r="L29" s="230"/>
      <c r="M29" s="230"/>
      <c r="N29" s="230"/>
      <c r="O29" s="230"/>
      <c r="P29" s="230"/>
      <c r="Q29" s="230"/>
      <c r="R29" s="230"/>
      <c r="S29" s="230"/>
      <c r="T29" s="230"/>
    </row>
    <row r="30" spans="1:20" x14ac:dyDescent="0.25">
      <c r="A30" s="230"/>
      <c r="B30" s="230"/>
      <c r="C30" s="230"/>
      <c r="D30" s="230"/>
      <c r="E30" s="230"/>
      <c r="F30" s="230"/>
      <c r="G30" s="230"/>
      <c r="H30" s="230"/>
      <c r="I30" s="230"/>
      <c r="J30" s="230"/>
      <c r="K30" s="230"/>
      <c r="L30" s="230"/>
      <c r="M30" s="230"/>
      <c r="N30" s="230"/>
      <c r="O30" s="230"/>
      <c r="P30" s="230"/>
      <c r="Q30" s="230"/>
      <c r="R30" s="230"/>
      <c r="S30" s="230"/>
      <c r="T30" s="230"/>
    </row>
    <row r="31" spans="1:20" x14ac:dyDescent="0.25">
      <c r="A31" s="230"/>
      <c r="B31" s="230"/>
      <c r="C31" s="230"/>
      <c r="D31" s="230"/>
      <c r="E31" s="230"/>
      <c r="F31" s="230"/>
      <c r="G31" s="230"/>
      <c r="H31" s="230"/>
      <c r="I31" s="230"/>
      <c r="J31" s="230"/>
      <c r="K31" s="230"/>
      <c r="L31" s="230"/>
      <c r="M31" s="230"/>
      <c r="N31" s="230"/>
      <c r="O31" s="230"/>
      <c r="P31" s="230"/>
      <c r="Q31" s="230"/>
      <c r="R31" s="230"/>
      <c r="S31" s="230"/>
      <c r="T31" s="230"/>
    </row>
    <row r="32" spans="1:20" x14ac:dyDescent="0.25">
      <c r="A32" s="230"/>
      <c r="B32" s="230"/>
      <c r="C32" s="230"/>
      <c r="D32" s="230"/>
      <c r="E32" s="230"/>
      <c r="F32" s="230"/>
      <c r="G32" s="230"/>
      <c r="H32" s="230"/>
      <c r="I32" s="230"/>
      <c r="J32" s="230"/>
      <c r="K32" s="230"/>
      <c r="L32" s="230"/>
      <c r="M32" s="230"/>
      <c r="N32" s="230"/>
      <c r="O32" s="230"/>
      <c r="P32" s="230"/>
      <c r="Q32" s="230"/>
      <c r="R32" s="230"/>
      <c r="S32" s="230"/>
      <c r="T32" s="230"/>
    </row>
    <row r="33" spans="1:20" x14ac:dyDescent="0.25">
      <c r="A33" s="230"/>
      <c r="B33" s="230"/>
      <c r="C33" s="230"/>
      <c r="D33" s="230"/>
      <c r="E33" s="230"/>
      <c r="F33" s="230"/>
      <c r="G33" s="230"/>
      <c r="H33" s="230"/>
      <c r="I33" s="230"/>
      <c r="J33" s="230"/>
      <c r="K33" s="230"/>
      <c r="L33" s="230"/>
      <c r="M33" s="230"/>
      <c r="N33" s="230"/>
      <c r="O33" s="230"/>
      <c r="P33" s="230"/>
      <c r="Q33" s="230"/>
      <c r="R33" s="230"/>
      <c r="S33" s="230"/>
      <c r="T33" s="230"/>
    </row>
    <row r="34" spans="1:20" x14ac:dyDescent="0.25">
      <c r="A34" s="230"/>
      <c r="B34" s="230"/>
      <c r="C34" s="230"/>
      <c r="D34" s="230"/>
      <c r="E34" s="230"/>
      <c r="F34" s="230"/>
      <c r="G34" s="230"/>
      <c r="H34" s="230"/>
      <c r="I34" s="230"/>
      <c r="J34" s="230"/>
      <c r="K34" s="230"/>
      <c r="L34" s="230"/>
      <c r="M34" s="230"/>
      <c r="N34" s="230"/>
      <c r="O34" s="230"/>
      <c r="P34" s="230"/>
      <c r="Q34" s="230"/>
      <c r="R34" s="230"/>
      <c r="S34" s="230"/>
      <c r="T34" s="230"/>
    </row>
    <row r="35" spans="1:20" x14ac:dyDescent="0.25">
      <c r="A35" s="230"/>
      <c r="B35" s="230"/>
      <c r="C35" s="230"/>
      <c r="D35" s="230"/>
      <c r="E35" s="230"/>
      <c r="F35" s="230"/>
      <c r="G35" s="230"/>
      <c r="H35" s="230"/>
      <c r="I35" s="230"/>
      <c r="J35" s="230"/>
      <c r="K35" s="230"/>
      <c r="L35" s="230"/>
      <c r="M35" s="230"/>
      <c r="N35" s="230"/>
      <c r="O35" s="230"/>
      <c r="P35" s="230"/>
      <c r="Q35" s="230"/>
      <c r="R35" s="230"/>
      <c r="S35" s="230"/>
      <c r="T35" s="230"/>
    </row>
    <row r="36" spans="1:20" x14ac:dyDescent="0.25">
      <c r="A36" s="230"/>
      <c r="B36" s="230"/>
      <c r="C36" s="230"/>
      <c r="D36" s="230"/>
      <c r="E36" s="230"/>
      <c r="F36" s="230"/>
      <c r="G36" s="230"/>
      <c r="H36" s="230"/>
      <c r="I36" s="230"/>
      <c r="J36" s="230"/>
      <c r="K36" s="230"/>
      <c r="L36" s="230"/>
      <c r="M36" s="230"/>
      <c r="N36" s="230"/>
      <c r="O36" s="230"/>
      <c r="P36" s="230"/>
      <c r="Q36" s="230"/>
      <c r="R36" s="230"/>
      <c r="S36" s="230"/>
      <c r="T36" s="230"/>
    </row>
    <row r="37" spans="1:20" x14ac:dyDescent="0.25">
      <c r="A37" s="230"/>
      <c r="B37" s="230"/>
      <c r="C37" s="230"/>
      <c r="D37" s="230"/>
      <c r="E37" s="230"/>
      <c r="F37" s="230"/>
      <c r="G37" s="230"/>
      <c r="H37" s="230"/>
      <c r="I37" s="230"/>
      <c r="J37" s="230"/>
      <c r="K37" s="230"/>
      <c r="L37" s="230"/>
      <c r="M37" s="230"/>
      <c r="N37" s="230"/>
      <c r="O37" s="230"/>
      <c r="P37" s="230"/>
      <c r="Q37" s="230"/>
      <c r="R37" s="230"/>
      <c r="S37" s="230"/>
      <c r="T37" s="230"/>
    </row>
    <row r="38" spans="1:20" x14ac:dyDescent="0.25">
      <c r="A38" s="230"/>
      <c r="B38" s="230"/>
      <c r="C38" s="230"/>
      <c r="D38" s="230"/>
      <c r="E38" s="230"/>
      <c r="F38" s="230"/>
      <c r="G38" s="230"/>
      <c r="H38" s="230"/>
      <c r="I38" s="230"/>
      <c r="J38" s="230"/>
      <c r="K38" s="230"/>
      <c r="L38" s="230"/>
      <c r="M38" s="230"/>
      <c r="N38" s="230"/>
      <c r="O38" s="230"/>
      <c r="P38" s="230"/>
      <c r="Q38" s="230"/>
      <c r="R38" s="230"/>
      <c r="S38" s="230"/>
      <c r="T38" s="230"/>
    </row>
    <row r="39" spans="1:20" x14ac:dyDescent="0.25">
      <c r="A39" s="230"/>
      <c r="B39" s="230"/>
      <c r="C39" s="230"/>
      <c r="D39" s="230"/>
      <c r="E39" s="230"/>
      <c r="F39" s="230"/>
      <c r="G39" s="230"/>
      <c r="H39" s="230"/>
      <c r="I39" s="230"/>
      <c r="J39" s="230"/>
      <c r="K39" s="230"/>
      <c r="L39" s="230"/>
      <c r="M39" s="230"/>
      <c r="N39" s="230"/>
      <c r="O39" s="230"/>
      <c r="P39" s="230"/>
      <c r="Q39" s="230"/>
      <c r="R39" s="230"/>
      <c r="S39" s="230"/>
      <c r="T39" s="230"/>
    </row>
    <row r="40" spans="1:20" x14ac:dyDescent="0.25">
      <c r="A40" s="230"/>
      <c r="B40" s="230"/>
      <c r="C40" s="230"/>
      <c r="D40" s="230"/>
      <c r="E40" s="230"/>
      <c r="F40" s="230"/>
      <c r="G40" s="230"/>
      <c r="H40" s="230"/>
      <c r="I40" s="230"/>
      <c r="J40" s="230"/>
      <c r="K40" s="230"/>
      <c r="L40" s="230"/>
      <c r="M40" s="230"/>
      <c r="N40" s="230"/>
      <c r="O40" s="230"/>
      <c r="P40" s="230"/>
      <c r="Q40" s="230"/>
      <c r="R40" s="230"/>
      <c r="S40" s="230"/>
      <c r="T40" s="230"/>
    </row>
    <row r="41" spans="1:20" x14ac:dyDescent="0.25">
      <c r="A41" s="230"/>
      <c r="B41" s="230"/>
      <c r="C41" s="230"/>
      <c r="D41" s="230"/>
      <c r="E41" s="230"/>
      <c r="F41" s="230"/>
      <c r="G41" s="230"/>
      <c r="H41" s="230"/>
      <c r="I41" s="230"/>
      <c r="J41" s="230"/>
      <c r="K41" s="230"/>
      <c r="L41" s="230"/>
      <c r="M41" s="230"/>
      <c r="N41" s="230"/>
      <c r="O41" s="230"/>
      <c r="P41" s="230"/>
      <c r="Q41" s="230"/>
      <c r="R41" s="230"/>
      <c r="S41" s="230"/>
      <c r="T41" s="230"/>
    </row>
    <row r="42" spans="1:20" x14ac:dyDescent="0.25">
      <c r="A42" s="230"/>
      <c r="B42" s="230"/>
      <c r="C42" s="230"/>
      <c r="D42" s="230"/>
      <c r="E42" s="230"/>
      <c r="F42" s="230"/>
      <c r="G42" s="230"/>
      <c r="H42" s="230"/>
      <c r="I42" s="230"/>
      <c r="J42" s="230"/>
      <c r="K42" s="230"/>
      <c r="L42" s="230"/>
      <c r="M42" s="230"/>
      <c r="N42" s="230"/>
      <c r="O42" s="230"/>
      <c r="P42" s="230"/>
      <c r="Q42" s="230"/>
      <c r="R42" s="230"/>
      <c r="S42" s="230"/>
      <c r="T42" s="230"/>
    </row>
    <row r="43" spans="1:20" x14ac:dyDescent="0.25">
      <c r="A43" s="230"/>
      <c r="B43" s="230"/>
      <c r="C43" s="230"/>
      <c r="D43" s="230"/>
      <c r="E43" s="230"/>
      <c r="F43" s="230"/>
      <c r="G43" s="230"/>
      <c r="H43" s="230"/>
      <c r="I43" s="230"/>
      <c r="J43" s="230"/>
      <c r="K43" s="230"/>
      <c r="L43" s="230"/>
      <c r="M43" s="230"/>
      <c r="N43" s="230"/>
      <c r="O43" s="230"/>
      <c r="P43" s="230"/>
      <c r="Q43" s="230"/>
      <c r="R43" s="230"/>
      <c r="S43" s="230"/>
      <c r="T43" s="230"/>
    </row>
    <row r="44" spans="1:20" x14ac:dyDescent="0.25">
      <c r="A44" s="230"/>
      <c r="B44" s="230"/>
      <c r="C44" s="230"/>
      <c r="D44" s="230"/>
      <c r="E44" s="230"/>
      <c r="F44" s="230"/>
      <c r="G44" s="230"/>
      <c r="H44" s="230"/>
      <c r="I44" s="230"/>
      <c r="J44" s="230"/>
      <c r="K44" s="230"/>
      <c r="L44" s="230"/>
      <c r="M44" s="230"/>
      <c r="N44" s="230"/>
      <c r="O44" s="230"/>
      <c r="P44" s="230"/>
      <c r="Q44" s="230"/>
      <c r="R44" s="230"/>
      <c r="S44" s="230"/>
      <c r="T44" s="230"/>
    </row>
    <row r="45" spans="1:20" x14ac:dyDescent="0.25">
      <c r="A45" s="230"/>
      <c r="B45" s="230"/>
      <c r="C45" s="230"/>
      <c r="D45" s="230"/>
      <c r="E45" s="230"/>
      <c r="F45" s="230"/>
      <c r="G45" s="230"/>
      <c r="H45" s="230"/>
      <c r="I45" s="230"/>
      <c r="J45" s="230"/>
      <c r="K45" s="230"/>
      <c r="L45" s="230"/>
      <c r="M45" s="230"/>
      <c r="N45" s="230"/>
      <c r="O45" s="230"/>
      <c r="P45" s="230"/>
      <c r="Q45" s="230"/>
      <c r="R45" s="230"/>
      <c r="S45" s="230"/>
      <c r="T45" s="230"/>
    </row>
    <row r="46" spans="1:20" x14ac:dyDescent="0.25">
      <c r="A46" s="230"/>
      <c r="B46" s="230"/>
      <c r="C46" s="230"/>
      <c r="D46" s="230"/>
      <c r="E46" s="230"/>
      <c r="F46" s="230"/>
      <c r="G46" s="230"/>
      <c r="H46" s="230"/>
      <c r="I46" s="230"/>
      <c r="J46" s="230"/>
      <c r="K46" s="230"/>
      <c r="L46" s="230"/>
      <c r="M46" s="230"/>
      <c r="N46" s="230"/>
      <c r="O46" s="230"/>
      <c r="P46" s="230"/>
      <c r="Q46" s="230"/>
      <c r="R46" s="230"/>
      <c r="S46" s="230"/>
      <c r="T46" s="230"/>
    </row>
    <row r="47" spans="1:20" x14ac:dyDescent="0.25">
      <c r="A47" s="230"/>
      <c r="B47" s="230"/>
      <c r="C47" s="230"/>
      <c r="D47" s="230"/>
      <c r="E47" s="230"/>
      <c r="F47" s="230"/>
      <c r="G47" s="230"/>
      <c r="H47" s="230"/>
      <c r="I47" s="230"/>
      <c r="J47" s="230"/>
      <c r="K47" s="230"/>
      <c r="L47" s="230"/>
      <c r="M47" s="230"/>
      <c r="N47" s="230"/>
      <c r="O47" s="230"/>
      <c r="P47" s="230"/>
      <c r="Q47" s="230"/>
      <c r="R47" s="230"/>
      <c r="S47" s="230"/>
      <c r="T47" s="230"/>
    </row>
    <row r="48" spans="1:20" x14ac:dyDescent="0.25">
      <c r="A48" s="230"/>
      <c r="B48" s="230"/>
      <c r="C48" s="230"/>
      <c r="D48" s="230"/>
      <c r="E48" s="230"/>
      <c r="F48" s="230"/>
      <c r="G48" s="230"/>
      <c r="H48" s="230"/>
      <c r="I48" s="230"/>
      <c r="J48" s="230"/>
      <c r="K48" s="230"/>
      <c r="L48" s="230"/>
      <c r="M48" s="230"/>
      <c r="N48" s="230"/>
      <c r="O48" s="230"/>
      <c r="P48" s="230"/>
      <c r="Q48" s="230"/>
      <c r="R48" s="230"/>
      <c r="S48" s="230"/>
      <c r="T48" s="230"/>
    </row>
    <row r="49" spans="1:20" x14ac:dyDescent="0.25">
      <c r="A49" s="230"/>
      <c r="B49" s="230"/>
      <c r="C49" s="230"/>
      <c r="D49" s="230"/>
      <c r="E49" s="230"/>
      <c r="F49" s="230"/>
      <c r="G49" s="230"/>
      <c r="H49" s="230"/>
      <c r="I49" s="230"/>
      <c r="J49" s="230"/>
      <c r="K49" s="230"/>
      <c r="L49" s="230"/>
      <c r="M49" s="230"/>
      <c r="N49" s="230"/>
      <c r="O49" s="230"/>
      <c r="P49" s="230"/>
      <c r="Q49" s="230"/>
      <c r="R49" s="230"/>
      <c r="S49" s="230"/>
      <c r="T49" s="230"/>
    </row>
    <row r="50" spans="1:20" x14ac:dyDescent="0.25">
      <c r="A50" s="230"/>
      <c r="B50" s="230"/>
      <c r="C50" s="230"/>
      <c r="D50" s="230"/>
      <c r="E50" s="230"/>
      <c r="F50" s="230"/>
      <c r="G50" s="230"/>
      <c r="H50" s="230"/>
      <c r="I50" s="230"/>
      <c r="J50" s="230"/>
      <c r="K50" s="230"/>
      <c r="L50" s="230"/>
      <c r="M50" s="230"/>
      <c r="N50" s="230"/>
      <c r="O50" s="230"/>
      <c r="P50" s="230"/>
      <c r="Q50" s="230"/>
      <c r="R50" s="230"/>
      <c r="S50" s="230"/>
      <c r="T50" s="230"/>
    </row>
    <row r="51" spans="1:20" x14ac:dyDescent="0.25">
      <c r="A51" s="230"/>
      <c r="B51" s="230"/>
      <c r="C51" s="230"/>
      <c r="D51" s="230"/>
      <c r="E51" s="230"/>
      <c r="F51" s="230"/>
      <c r="G51" s="230"/>
      <c r="H51" s="230"/>
      <c r="I51" s="230"/>
      <c r="J51" s="230"/>
      <c r="K51" s="230"/>
      <c r="L51" s="230"/>
      <c r="M51" s="230"/>
      <c r="N51" s="230"/>
      <c r="O51" s="230"/>
      <c r="P51" s="230"/>
      <c r="Q51" s="230"/>
      <c r="R51" s="230"/>
      <c r="S51" s="230"/>
      <c r="T51" s="230"/>
    </row>
    <row r="52" spans="1:20" x14ac:dyDescent="0.25">
      <c r="A52" s="230"/>
      <c r="B52" s="230"/>
      <c r="C52" s="230"/>
      <c r="D52" s="230"/>
      <c r="E52" s="230"/>
      <c r="F52" s="230"/>
      <c r="G52" s="230"/>
      <c r="H52" s="230"/>
      <c r="I52" s="230"/>
      <c r="J52" s="230"/>
      <c r="K52" s="230"/>
      <c r="L52" s="230"/>
      <c r="M52" s="230"/>
      <c r="N52" s="230"/>
      <c r="O52" s="230"/>
      <c r="P52" s="230"/>
      <c r="Q52" s="230"/>
      <c r="R52" s="230"/>
      <c r="S52" s="230"/>
      <c r="T52" s="230"/>
    </row>
    <row r="53" spans="1:20" x14ac:dyDescent="0.25">
      <c r="A53" s="230"/>
      <c r="B53" s="230"/>
      <c r="C53" s="230"/>
      <c r="D53" s="230"/>
      <c r="E53" s="230"/>
      <c r="F53" s="230"/>
      <c r="G53" s="230"/>
      <c r="H53" s="230"/>
      <c r="I53" s="230"/>
      <c r="J53" s="230"/>
      <c r="K53" s="230"/>
      <c r="L53" s="230"/>
      <c r="M53" s="230"/>
      <c r="N53" s="230"/>
      <c r="O53" s="230"/>
      <c r="P53" s="230"/>
      <c r="Q53" s="230"/>
      <c r="R53" s="230"/>
      <c r="S53" s="230"/>
      <c r="T53" s="230"/>
    </row>
    <row r="54" spans="1:20" x14ac:dyDescent="0.25">
      <c r="A54" s="230"/>
      <c r="B54" s="230"/>
      <c r="C54" s="230"/>
      <c r="D54" s="230"/>
      <c r="E54" s="230"/>
      <c r="F54" s="230"/>
      <c r="G54" s="230"/>
      <c r="H54" s="230"/>
      <c r="I54" s="230"/>
      <c r="J54" s="230"/>
      <c r="K54" s="230"/>
      <c r="L54" s="230"/>
      <c r="M54" s="230"/>
      <c r="N54" s="230"/>
      <c r="O54" s="230"/>
      <c r="P54" s="230"/>
      <c r="Q54" s="230"/>
      <c r="R54" s="230"/>
      <c r="S54" s="230"/>
      <c r="T54" s="230"/>
    </row>
    <row r="55" spans="1:20" x14ac:dyDescent="0.25">
      <c r="A55" s="230"/>
      <c r="B55" s="230"/>
      <c r="C55" s="230"/>
      <c r="D55" s="230"/>
      <c r="E55" s="230"/>
      <c r="F55" s="230"/>
      <c r="G55" s="230"/>
      <c r="H55" s="230"/>
      <c r="I55" s="230"/>
      <c r="J55" s="230"/>
      <c r="K55" s="230"/>
      <c r="L55" s="230"/>
      <c r="M55" s="230"/>
      <c r="N55" s="230"/>
      <c r="O55" s="230"/>
      <c r="P55" s="230"/>
      <c r="Q55" s="230"/>
      <c r="R55" s="230"/>
      <c r="S55" s="230"/>
      <c r="T55" s="230"/>
    </row>
    <row r="56" spans="1:20" x14ac:dyDescent="0.25">
      <c r="A56" s="230"/>
      <c r="B56" s="230"/>
      <c r="C56" s="230"/>
      <c r="D56" s="230"/>
      <c r="E56" s="230"/>
      <c r="F56" s="230"/>
      <c r="G56" s="230"/>
      <c r="H56" s="230"/>
      <c r="I56" s="230"/>
      <c r="J56" s="230"/>
      <c r="K56" s="230"/>
      <c r="L56" s="230"/>
      <c r="M56" s="230"/>
      <c r="N56" s="230"/>
      <c r="O56" s="230"/>
      <c r="P56" s="230"/>
      <c r="Q56" s="230"/>
      <c r="R56" s="230"/>
      <c r="S56" s="230"/>
      <c r="T56" s="230"/>
    </row>
    <row r="57" spans="1:20" x14ac:dyDescent="0.25">
      <c r="A57" s="230"/>
      <c r="B57" s="230"/>
      <c r="C57" s="230"/>
      <c r="D57" s="230"/>
      <c r="E57" s="230"/>
      <c r="F57" s="230"/>
      <c r="G57" s="230"/>
      <c r="H57" s="230"/>
      <c r="I57" s="230"/>
      <c r="J57" s="230"/>
      <c r="K57" s="230"/>
      <c r="L57" s="230"/>
      <c r="M57" s="230"/>
      <c r="N57" s="230"/>
      <c r="O57" s="230"/>
      <c r="P57" s="230"/>
      <c r="Q57" s="230"/>
      <c r="R57" s="230"/>
      <c r="S57" s="230"/>
      <c r="T57" s="230"/>
    </row>
  </sheetData>
  <mergeCells count="1">
    <mergeCell ref="B2:E2"/>
  </mergeCells>
  <dataValidations count="1">
    <dataValidation type="list" allowBlank="1" showInputMessage="1" showErrorMessage="1" sqref="D4">
      <formula1>"Diario,Semanal,Quincenal,Mensual"</formula1>
    </dataValidation>
  </dataValidations>
  <hyperlinks>
    <hyperlink ref="F2" location="Main!A1" display="Volver"/>
  </hyperlinks>
  <pageMargins left="0.7" right="0.7" top="0.75" bottom="0.75" header="0.3" footer="0.3"/>
  <pageSetup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14363" r:id="rId4" name="Button 27">
              <controlPr defaultSize="0" print="0" autoFill="0" autoPict="0" macro="[0]!Ir_BonoNOC">
                <anchor moveWithCells="1" sizeWithCells="1">
                  <from>
                    <xdr:col>1</xdr:col>
                    <xdr:colOff>9525</xdr:colOff>
                    <xdr:row>8</xdr:row>
                    <xdr:rowOff>38100</xdr:rowOff>
                  </from>
                  <to>
                    <xdr:col>3</xdr:col>
                    <xdr:colOff>285750</xdr:colOff>
                    <xdr:row>11</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B1:G15"/>
  <sheetViews>
    <sheetView showGridLines="0" workbookViewId="0">
      <selection activeCell="G2" sqref="G2"/>
    </sheetView>
  </sheetViews>
  <sheetFormatPr baseColWidth="10" defaultColWidth="9.140625" defaultRowHeight="15" x14ac:dyDescent="0.25"/>
  <cols>
    <col min="1" max="1" width="11.42578125" customWidth="1"/>
    <col min="2" max="2" width="4.28515625" customWidth="1"/>
    <col min="3" max="3" width="23.7109375" bestFit="1" customWidth="1"/>
    <col min="4" max="4" width="11.42578125" customWidth="1"/>
    <col min="5" max="5" width="4.140625" customWidth="1"/>
    <col min="6" max="6" width="4.28515625" customWidth="1"/>
  </cols>
  <sheetData>
    <row r="1" spans="2:7" ht="15.75" thickBot="1" x14ac:dyDescent="0.3"/>
    <row r="2" spans="2:7" x14ac:dyDescent="0.25">
      <c r="B2" s="1"/>
      <c r="C2" s="2"/>
      <c r="D2" s="2"/>
      <c r="E2" s="2"/>
      <c r="F2" s="3"/>
      <c r="G2" s="163" t="s">
        <v>87</v>
      </c>
    </row>
    <row r="3" spans="2:7" x14ac:dyDescent="0.25">
      <c r="B3" s="4"/>
      <c r="C3" s="6" t="s">
        <v>142</v>
      </c>
      <c r="D3" s="6"/>
      <c r="E3" s="6"/>
      <c r="F3" s="5"/>
    </row>
    <row r="4" spans="2:7" x14ac:dyDescent="0.25">
      <c r="B4" s="4"/>
      <c r="C4" s="206" t="s">
        <v>143</v>
      </c>
      <c r="D4" s="206"/>
      <c r="E4" s="6"/>
      <c r="F4" s="5"/>
    </row>
    <row r="5" spans="2:7" x14ac:dyDescent="0.25">
      <c r="B5" s="4"/>
      <c r="C5" s="6"/>
      <c r="D5" s="6"/>
      <c r="E5" s="6"/>
      <c r="F5" s="5"/>
    </row>
    <row r="6" spans="2:7" x14ac:dyDescent="0.25">
      <c r="B6" s="4"/>
      <c r="C6" s="6" t="s">
        <v>144</v>
      </c>
      <c r="D6" s="6"/>
      <c r="E6" s="6"/>
      <c r="F6" s="5"/>
    </row>
    <row r="7" spans="2:7" x14ac:dyDescent="0.25">
      <c r="B7" s="4"/>
      <c r="C7" s="6" t="s">
        <v>145</v>
      </c>
      <c r="D7" s="207">
        <v>50</v>
      </c>
      <c r="E7" s="6" t="s">
        <v>36</v>
      </c>
      <c r="F7" s="5"/>
    </row>
    <row r="8" spans="2:7" x14ac:dyDescent="0.25">
      <c r="B8" s="4"/>
      <c r="C8" s="6" t="s">
        <v>146</v>
      </c>
      <c r="D8" s="6">
        <f>100-D7</f>
        <v>50</v>
      </c>
      <c r="E8" s="6" t="s">
        <v>36</v>
      </c>
      <c r="F8" s="5"/>
    </row>
    <row r="9" spans="2:7" x14ac:dyDescent="0.25">
      <c r="B9" s="4"/>
      <c r="C9" s="6"/>
      <c r="D9" s="6"/>
      <c r="E9" s="6"/>
      <c r="F9" s="5"/>
    </row>
    <row r="10" spans="2:7" x14ac:dyDescent="0.25">
      <c r="B10" s="4"/>
      <c r="C10" s="156" t="s">
        <v>147</v>
      </c>
      <c r="D10" s="156">
        <f>IF(C4="Cada 15 dias",(D7/100)*Main!C8,0)</f>
        <v>45000</v>
      </c>
      <c r="E10" s="156" t="s">
        <v>25</v>
      </c>
      <c r="F10" s="5"/>
    </row>
    <row r="11" spans="2:7" x14ac:dyDescent="0.25">
      <c r="B11" s="4"/>
      <c r="C11" s="6"/>
      <c r="D11" s="6"/>
      <c r="E11" s="6"/>
      <c r="F11" s="5"/>
    </row>
    <row r="12" spans="2:7" x14ac:dyDescent="0.25">
      <c r="B12" s="4"/>
      <c r="C12" s="156" t="s">
        <v>148</v>
      </c>
      <c r="D12" s="156">
        <f>Main!C8-Quincena!D10</f>
        <v>45000</v>
      </c>
      <c r="E12" s="156" t="s">
        <v>25</v>
      </c>
      <c r="F12" s="5"/>
    </row>
    <row r="13" spans="2:7" x14ac:dyDescent="0.25">
      <c r="B13" s="4"/>
      <c r="C13" s="66" t="s">
        <v>149</v>
      </c>
      <c r="D13" s="194">
        <f ca="1">-Descuentos!C36</f>
        <v>-5573.0769230769238</v>
      </c>
      <c r="E13" s="66" t="s">
        <v>25</v>
      </c>
      <c r="F13" s="5"/>
    </row>
    <row r="14" spans="2:7" ht="15.75" thickBot="1" x14ac:dyDescent="0.3">
      <c r="B14" s="4"/>
      <c r="C14" s="202" t="s">
        <v>150</v>
      </c>
      <c r="D14" s="201">
        <f ca="1">D12+D13</f>
        <v>39426.923076923078</v>
      </c>
      <c r="E14" s="202" t="s">
        <v>25</v>
      </c>
      <c r="F14" s="5"/>
    </row>
    <row r="15" spans="2:7" ht="16.5" thickTop="1" thickBot="1" x14ac:dyDescent="0.3">
      <c r="B15" s="9"/>
      <c r="C15" s="10"/>
      <c r="D15" s="10"/>
      <c r="E15" s="10"/>
      <c r="F15" s="11"/>
    </row>
  </sheetData>
  <sheetProtection sheet="1" objects="1" scenarios="1"/>
  <protectedRanges>
    <protectedRange sqref="C4 D7" name="Rango1"/>
  </protectedRanges>
  <dataValidations count="1">
    <dataValidation type="list" allowBlank="1" showInputMessage="1" showErrorMessage="1" sqref="C4">
      <formula1>"Cada 30 dias,Cada 15 dias"</formula1>
    </dataValidation>
  </dataValidations>
  <hyperlinks>
    <hyperlink ref="G2" location="Main!A1" display="VOLVER"/>
  </hyperlink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1:Z57"/>
  <sheetViews>
    <sheetView showGridLines="0" workbookViewId="0">
      <selection activeCell="E1" sqref="E1"/>
    </sheetView>
  </sheetViews>
  <sheetFormatPr baseColWidth="10" defaultColWidth="9.140625" defaultRowHeight="12.75" x14ac:dyDescent="0.2"/>
  <cols>
    <col min="1" max="1" width="11.42578125" style="113" customWidth="1"/>
    <col min="2" max="2" width="25.5703125" style="113" customWidth="1"/>
    <col min="3" max="16384" width="9.140625" style="113"/>
  </cols>
  <sheetData>
    <row r="1" spans="1:26" ht="21.75" customHeight="1" thickBot="1" x14ac:dyDescent="0.25">
      <c r="A1" s="48"/>
      <c r="B1" s="431" t="s">
        <v>94</v>
      </c>
      <c r="C1" s="432"/>
      <c r="D1" s="433"/>
      <c r="E1" s="130" t="s">
        <v>87</v>
      </c>
      <c r="F1" s="48"/>
      <c r="G1" s="48"/>
      <c r="H1" s="48"/>
      <c r="I1" s="48"/>
      <c r="J1" s="48"/>
      <c r="K1" s="48"/>
      <c r="L1" s="48"/>
      <c r="M1" s="48"/>
      <c r="N1" s="48"/>
      <c r="O1" s="48"/>
      <c r="P1" s="48"/>
      <c r="Q1" s="48"/>
      <c r="R1" s="48"/>
      <c r="S1" s="48"/>
      <c r="T1" s="48"/>
      <c r="U1" s="48"/>
      <c r="V1" s="48"/>
      <c r="W1" s="48"/>
      <c r="X1" s="48"/>
      <c r="Y1" s="48"/>
      <c r="Z1" s="48"/>
    </row>
    <row r="2" spans="1:26" ht="13.5" thickBot="1" x14ac:dyDescent="0.25">
      <c r="A2" s="48"/>
      <c r="B2" s="48"/>
      <c r="C2" s="48"/>
      <c r="D2" s="48"/>
      <c r="E2" s="48"/>
      <c r="F2" s="48"/>
      <c r="G2" s="48"/>
      <c r="H2" s="48"/>
      <c r="I2" s="48"/>
      <c r="J2" s="48"/>
      <c r="K2" s="48"/>
      <c r="L2" s="48"/>
      <c r="M2" s="48"/>
      <c r="N2" s="48"/>
      <c r="O2" s="48"/>
      <c r="P2" s="48"/>
      <c r="Q2" s="48"/>
      <c r="R2" s="48"/>
      <c r="S2" s="48"/>
      <c r="T2" s="48"/>
      <c r="U2" s="48"/>
      <c r="V2" s="48"/>
      <c r="W2" s="48"/>
      <c r="X2" s="48"/>
      <c r="Y2" s="48"/>
      <c r="Z2" s="48"/>
    </row>
    <row r="3" spans="1:26" ht="18" customHeight="1" x14ac:dyDescent="0.2">
      <c r="A3" s="48"/>
      <c r="B3" s="434" t="s">
        <v>95</v>
      </c>
      <c r="C3" s="435"/>
      <c r="D3" s="436"/>
      <c r="E3" s="116"/>
      <c r="F3" s="116"/>
      <c r="G3" s="48"/>
      <c r="H3" s="48"/>
      <c r="I3" s="48"/>
      <c r="J3" s="48"/>
      <c r="K3" s="48"/>
      <c r="L3" s="48"/>
      <c r="M3" s="48"/>
      <c r="N3" s="48"/>
      <c r="O3" s="48"/>
      <c r="P3" s="48"/>
      <c r="Q3" s="48"/>
      <c r="R3" s="48"/>
      <c r="S3" s="48"/>
      <c r="T3" s="48"/>
      <c r="U3" s="48"/>
      <c r="V3" s="48"/>
      <c r="W3" s="48"/>
      <c r="X3" s="48"/>
      <c r="Y3" s="48"/>
      <c r="Z3" s="48"/>
    </row>
    <row r="4" spans="1:26" x14ac:dyDescent="0.2">
      <c r="A4" s="48"/>
      <c r="B4" s="19" t="s">
        <v>22</v>
      </c>
      <c r="C4" s="17">
        <f>Main!C8</f>
        <v>90000</v>
      </c>
      <c r="D4" s="18" t="s">
        <v>25</v>
      </c>
      <c r="E4" s="48"/>
      <c r="F4" s="48"/>
      <c r="G4" s="48"/>
      <c r="H4" s="48"/>
      <c r="I4" s="48"/>
      <c r="J4" s="48"/>
      <c r="K4" s="48"/>
      <c r="L4" s="48"/>
      <c r="M4" s="48"/>
      <c r="N4" s="48"/>
      <c r="O4" s="48"/>
      <c r="P4" s="48"/>
      <c r="Q4" s="48"/>
      <c r="R4" s="48"/>
      <c r="S4" s="48"/>
      <c r="T4" s="48"/>
      <c r="U4" s="48"/>
      <c r="V4" s="48"/>
      <c r="W4" s="48"/>
      <c r="X4" s="48"/>
      <c r="Y4" s="48"/>
      <c r="Z4" s="48"/>
    </row>
    <row r="5" spans="1:26" x14ac:dyDescent="0.2">
      <c r="A5" s="48"/>
      <c r="B5" s="19" t="s">
        <v>32</v>
      </c>
      <c r="C5" s="117">
        <f>Main!C14</f>
        <v>40638</v>
      </c>
      <c r="D5" s="18" t="s">
        <v>25</v>
      </c>
      <c r="E5" s="48"/>
      <c r="F5" s="48"/>
      <c r="G5" s="48"/>
      <c r="H5" s="48"/>
      <c r="I5" s="48"/>
      <c r="J5" s="48"/>
      <c r="K5" s="48"/>
      <c r="L5" s="48"/>
      <c r="M5" s="48"/>
      <c r="N5" s="48"/>
      <c r="O5" s="48"/>
      <c r="P5" s="48"/>
      <c r="Q5" s="48"/>
      <c r="R5" s="48"/>
      <c r="S5" s="48"/>
      <c r="T5" s="48"/>
      <c r="U5" s="48"/>
      <c r="V5" s="48"/>
      <c r="W5" s="48"/>
      <c r="X5" s="48"/>
      <c r="Y5" s="48"/>
      <c r="Z5" s="48"/>
    </row>
    <row r="6" spans="1:26" x14ac:dyDescent="0.2">
      <c r="A6" s="48"/>
      <c r="B6" s="19" t="s">
        <v>96</v>
      </c>
      <c r="C6" s="118" t="str">
        <f>IF(C4&gt;C5*5,"SI","NO")</f>
        <v>NO</v>
      </c>
      <c r="D6" s="18"/>
      <c r="E6" s="48"/>
      <c r="F6" s="48"/>
      <c r="G6" s="48"/>
      <c r="H6" s="48"/>
      <c r="I6" s="48"/>
      <c r="J6" s="48"/>
      <c r="K6" s="48"/>
      <c r="L6" s="48"/>
      <c r="M6" s="48"/>
      <c r="N6" s="48"/>
      <c r="O6" s="48"/>
      <c r="P6" s="48"/>
      <c r="Q6" s="48"/>
      <c r="R6" s="48"/>
      <c r="S6" s="48"/>
      <c r="T6" s="48"/>
      <c r="U6" s="48"/>
      <c r="V6" s="48"/>
      <c r="W6" s="48"/>
      <c r="X6" s="48"/>
      <c r="Y6" s="48"/>
      <c r="Z6" s="48"/>
    </row>
    <row r="7" spans="1:26" x14ac:dyDescent="0.2">
      <c r="A7" s="48"/>
      <c r="B7" s="19" t="s">
        <v>97</v>
      </c>
      <c r="C7" s="119">
        <f>Main!C17</f>
        <v>52</v>
      </c>
      <c r="D7" s="18"/>
      <c r="E7" s="48"/>
      <c r="F7" s="48"/>
      <c r="G7" s="48"/>
      <c r="H7" s="48"/>
      <c r="I7" s="48"/>
      <c r="J7" s="48"/>
      <c r="K7" s="48"/>
      <c r="L7" s="48"/>
      <c r="M7" s="48"/>
      <c r="N7" s="48"/>
      <c r="O7" s="48"/>
      <c r="P7" s="48"/>
      <c r="Q7" s="48"/>
      <c r="R7" s="48"/>
      <c r="S7" s="48"/>
      <c r="T7" s="48"/>
      <c r="U7" s="48"/>
      <c r="V7" s="48"/>
      <c r="W7" s="48"/>
      <c r="X7" s="48"/>
      <c r="Y7" s="48"/>
      <c r="Z7" s="48"/>
    </row>
    <row r="8" spans="1:26" x14ac:dyDescent="0.2">
      <c r="A8" s="48"/>
      <c r="B8" s="19" t="s">
        <v>98</v>
      </c>
      <c r="C8" s="120">
        <f ca="1">'Lunes C'!C36</f>
        <v>5</v>
      </c>
      <c r="D8" s="18"/>
      <c r="E8" s="48"/>
      <c r="F8" s="48"/>
      <c r="G8" s="48"/>
      <c r="H8" s="48"/>
      <c r="I8" s="48"/>
      <c r="J8" s="48"/>
      <c r="K8" s="48"/>
      <c r="L8" s="48"/>
      <c r="M8" s="48"/>
      <c r="N8" s="48"/>
      <c r="O8" s="48"/>
      <c r="P8" s="48"/>
      <c r="Q8" s="48"/>
      <c r="R8" s="48"/>
      <c r="S8" s="48"/>
      <c r="T8" s="48"/>
      <c r="U8" s="48"/>
      <c r="V8" s="48"/>
      <c r="W8" s="48"/>
      <c r="X8" s="48"/>
      <c r="Y8" s="48"/>
      <c r="Z8" s="48"/>
    </row>
    <row r="9" spans="1:26" x14ac:dyDescent="0.2">
      <c r="A9" s="48"/>
      <c r="B9" s="19" t="s">
        <v>99</v>
      </c>
      <c r="C9" s="28">
        <v>4</v>
      </c>
      <c r="D9" s="18" t="s">
        <v>36</v>
      </c>
      <c r="E9" s="48"/>
      <c r="F9" s="48"/>
      <c r="G9" s="48"/>
      <c r="H9" s="48"/>
      <c r="I9" s="48"/>
      <c r="J9" s="48"/>
      <c r="K9" s="48"/>
      <c r="L9" s="48"/>
      <c r="M9" s="48"/>
      <c r="N9" s="48"/>
      <c r="O9" s="48"/>
      <c r="P9" s="48"/>
      <c r="Q9" s="48"/>
      <c r="R9" s="48"/>
      <c r="S9" s="48"/>
      <c r="T9" s="48"/>
      <c r="U9" s="48"/>
      <c r="V9" s="48"/>
      <c r="W9" s="48"/>
      <c r="X9" s="48"/>
      <c r="Y9" s="48"/>
      <c r="Z9" s="48"/>
    </row>
    <row r="10" spans="1:26" x14ac:dyDescent="0.2">
      <c r="A10" s="48"/>
      <c r="B10" s="25"/>
      <c r="C10" s="17"/>
      <c r="D10" s="18"/>
      <c r="E10" s="48"/>
      <c r="F10" s="48"/>
      <c r="G10" s="48"/>
      <c r="H10" s="48"/>
      <c r="I10" s="48"/>
      <c r="J10" s="48"/>
      <c r="K10" s="48"/>
      <c r="L10" s="48"/>
      <c r="M10" s="48"/>
      <c r="N10" s="48"/>
      <c r="O10" s="48"/>
      <c r="P10" s="48"/>
      <c r="Q10" s="48"/>
      <c r="R10" s="48"/>
      <c r="S10" s="48"/>
      <c r="T10" s="48"/>
      <c r="U10" s="48"/>
      <c r="V10" s="48"/>
      <c r="W10" s="48"/>
      <c r="X10" s="48"/>
      <c r="Y10" s="48"/>
      <c r="Z10" s="48"/>
    </row>
    <row r="11" spans="1:26" x14ac:dyDescent="0.2">
      <c r="A11" s="48"/>
      <c r="B11" s="121" t="s">
        <v>100</v>
      </c>
      <c r="C11" s="122">
        <f ca="1">IF(C6="NO",(C4*12)/C7*C9/100*C8,(C5*5*12)/C7*C9/100*C8)</f>
        <v>4153.8461538461543</v>
      </c>
      <c r="D11" s="18" t="s">
        <v>25</v>
      </c>
      <c r="E11" s="48"/>
      <c r="F11" s="48"/>
      <c r="G11" s="48"/>
      <c r="H11" s="48"/>
      <c r="I11" s="48"/>
      <c r="J11" s="48"/>
      <c r="K11" s="48"/>
      <c r="L11" s="48"/>
      <c r="M11" s="48"/>
      <c r="N11" s="48"/>
      <c r="O11" s="48"/>
      <c r="P11" s="48"/>
      <c r="Q11" s="48"/>
      <c r="R11" s="48"/>
      <c r="S11" s="48"/>
      <c r="T11" s="48"/>
      <c r="U11" s="48"/>
      <c r="V11" s="48"/>
      <c r="W11" s="48"/>
      <c r="X11" s="48"/>
      <c r="Y11" s="48"/>
      <c r="Z11" s="48"/>
    </row>
    <row r="12" spans="1:26" ht="13.5" thickBot="1" x14ac:dyDescent="0.25">
      <c r="A12" s="48"/>
      <c r="B12" s="27"/>
      <c r="C12" s="21"/>
      <c r="D12" s="22"/>
      <c r="E12" s="48"/>
      <c r="F12" s="48"/>
      <c r="G12" s="48"/>
      <c r="H12" s="48"/>
      <c r="I12" s="48"/>
      <c r="J12" s="48"/>
      <c r="K12" s="48"/>
      <c r="L12" s="48"/>
      <c r="M12" s="48"/>
      <c r="N12" s="48"/>
      <c r="O12" s="48"/>
      <c r="P12" s="48"/>
      <c r="Q12" s="48"/>
      <c r="R12" s="48"/>
      <c r="S12" s="48"/>
      <c r="T12" s="48"/>
      <c r="U12" s="48"/>
      <c r="V12" s="48"/>
      <c r="W12" s="48"/>
      <c r="X12" s="48"/>
      <c r="Y12" s="48"/>
      <c r="Z12" s="48"/>
    </row>
    <row r="13" spans="1:26" x14ac:dyDescent="0.2">
      <c r="A13" s="48"/>
      <c r="B13" s="48"/>
      <c r="C13" s="48"/>
      <c r="D13" s="48"/>
      <c r="E13" s="48"/>
      <c r="F13" s="48"/>
      <c r="G13" s="48"/>
      <c r="H13" s="48"/>
      <c r="I13" s="48"/>
      <c r="J13" s="48"/>
      <c r="K13" s="48"/>
      <c r="L13" s="48"/>
      <c r="M13" s="48"/>
      <c r="N13" s="48"/>
      <c r="O13" s="48"/>
      <c r="P13" s="48"/>
      <c r="Q13" s="48"/>
      <c r="R13" s="48"/>
      <c r="S13" s="48"/>
      <c r="T13" s="48"/>
      <c r="U13" s="48"/>
      <c r="V13" s="48"/>
      <c r="W13" s="48"/>
      <c r="X13" s="48"/>
      <c r="Y13" s="48"/>
      <c r="Z13" s="48"/>
    </row>
    <row r="14" spans="1:26" ht="13.5" thickBot="1" x14ac:dyDescent="0.25">
      <c r="A14" s="48"/>
      <c r="B14" s="48"/>
      <c r="C14" s="48"/>
      <c r="D14" s="48"/>
      <c r="E14" s="48"/>
      <c r="F14" s="48"/>
      <c r="G14" s="48"/>
      <c r="H14" s="48"/>
      <c r="I14" s="48"/>
      <c r="J14" s="48"/>
      <c r="K14" s="48"/>
      <c r="L14" s="48"/>
      <c r="M14" s="48"/>
      <c r="N14" s="48"/>
      <c r="O14" s="48"/>
      <c r="P14" s="48"/>
      <c r="Q14" s="48"/>
      <c r="R14" s="48"/>
      <c r="S14" s="48"/>
      <c r="T14" s="48"/>
      <c r="U14" s="48"/>
      <c r="V14" s="48"/>
      <c r="W14" s="48"/>
      <c r="X14" s="48"/>
      <c r="Y14" s="48"/>
      <c r="Z14" s="48"/>
    </row>
    <row r="15" spans="1:26" x14ac:dyDescent="0.2">
      <c r="A15" s="48"/>
      <c r="B15" s="437" t="s">
        <v>101</v>
      </c>
      <c r="C15" s="438"/>
      <c r="D15" s="439"/>
      <c r="E15" s="48"/>
      <c r="F15" s="48"/>
      <c r="G15" s="48"/>
      <c r="H15" s="48"/>
      <c r="I15" s="48"/>
      <c r="J15" s="48"/>
      <c r="K15" s="48"/>
      <c r="L15" s="48"/>
      <c r="M15" s="48"/>
      <c r="N15" s="48"/>
      <c r="O15" s="48"/>
      <c r="P15" s="48"/>
      <c r="Q15" s="48"/>
      <c r="R15" s="48"/>
      <c r="S15" s="48"/>
      <c r="T15" s="48"/>
      <c r="U15" s="48"/>
      <c r="V15" s="48"/>
      <c r="W15" s="48"/>
      <c r="X15" s="48"/>
      <c r="Y15" s="48"/>
      <c r="Z15" s="48"/>
    </row>
    <row r="16" spans="1:26" x14ac:dyDescent="0.2">
      <c r="A16" s="48"/>
      <c r="B16" s="19" t="s">
        <v>22</v>
      </c>
      <c r="C16" s="123">
        <f>Main!C8</f>
        <v>90000</v>
      </c>
      <c r="D16" s="18" t="s">
        <v>25</v>
      </c>
      <c r="E16" s="48"/>
      <c r="F16" s="48"/>
      <c r="G16" s="52"/>
      <c r="H16" s="48"/>
      <c r="I16" s="48"/>
      <c r="J16" s="48"/>
      <c r="K16" s="48"/>
      <c r="L16" s="48"/>
      <c r="M16" s="48"/>
      <c r="N16" s="48"/>
      <c r="O16" s="48"/>
      <c r="P16" s="48"/>
      <c r="Q16" s="48"/>
      <c r="R16" s="48"/>
      <c r="S16" s="48"/>
      <c r="T16" s="48"/>
      <c r="U16" s="48"/>
      <c r="V16" s="48"/>
      <c r="W16" s="48"/>
      <c r="X16" s="48"/>
      <c r="Y16" s="48"/>
      <c r="Z16" s="48"/>
    </row>
    <row r="17" spans="1:26" x14ac:dyDescent="0.2">
      <c r="A17" s="48"/>
      <c r="B17" s="19" t="s">
        <v>32</v>
      </c>
      <c r="C17" s="117">
        <f>Main!C14</f>
        <v>40638</v>
      </c>
      <c r="D17" s="18" t="s">
        <v>25</v>
      </c>
      <c r="E17" s="48"/>
      <c r="F17" s="48"/>
      <c r="G17" s="48"/>
      <c r="H17" s="48"/>
      <c r="I17" s="48"/>
      <c r="J17" s="48"/>
      <c r="K17" s="48"/>
      <c r="L17" s="48"/>
      <c r="M17" s="48"/>
      <c r="N17" s="48"/>
      <c r="O17" s="48"/>
      <c r="P17" s="48"/>
      <c r="Q17" s="48"/>
      <c r="R17" s="48"/>
      <c r="S17" s="48"/>
      <c r="T17" s="48"/>
      <c r="U17" s="48"/>
      <c r="V17" s="48"/>
      <c r="W17" s="48"/>
      <c r="X17" s="48"/>
      <c r="Y17" s="48"/>
      <c r="Z17" s="48"/>
    </row>
    <row r="18" spans="1:26" x14ac:dyDescent="0.2">
      <c r="A18" s="48"/>
      <c r="B18" s="19" t="s">
        <v>102</v>
      </c>
      <c r="C18" s="118" t="str">
        <f>IF(C16&gt;C17*10,"SI","NO")</f>
        <v>NO</v>
      </c>
      <c r="D18" s="18"/>
      <c r="E18" s="48"/>
      <c r="F18" s="48"/>
      <c r="G18" s="48"/>
      <c r="H18" s="48"/>
      <c r="I18" s="48"/>
      <c r="J18" s="48"/>
      <c r="K18" s="48"/>
      <c r="L18" s="48"/>
      <c r="M18" s="48"/>
      <c r="N18" s="48"/>
      <c r="O18" s="48"/>
      <c r="P18" s="48"/>
      <c r="Q18" s="48"/>
      <c r="R18" s="48"/>
      <c r="S18" s="48"/>
      <c r="T18" s="48"/>
      <c r="U18" s="48"/>
      <c r="V18" s="48"/>
      <c r="W18" s="48"/>
      <c r="X18" s="48"/>
      <c r="Y18" s="48"/>
      <c r="Z18" s="48"/>
    </row>
    <row r="19" spans="1:26" x14ac:dyDescent="0.2">
      <c r="A19" s="48"/>
      <c r="B19" s="19" t="s">
        <v>97</v>
      </c>
      <c r="C19" s="119">
        <f>C7</f>
        <v>52</v>
      </c>
      <c r="D19" s="18"/>
      <c r="E19" s="48"/>
      <c r="F19" s="48"/>
      <c r="G19" s="48"/>
      <c r="H19" s="48"/>
      <c r="I19" s="48"/>
      <c r="J19" s="48"/>
      <c r="K19" s="48"/>
      <c r="L19" s="48"/>
      <c r="M19" s="48"/>
      <c r="N19" s="48"/>
      <c r="O19" s="48"/>
      <c r="P19" s="48"/>
      <c r="Q19" s="48"/>
      <c r="R19" s="48"/>
      <c r="S19" s="48"/>
      <c r="T19" s="48"/>
      <c r="U19" s="48"/>
      <c r="V19" s="48"/>
      <c r="W19" s="48"/>
      <c r="X19" s="48"/>
      <c r="Y19" s="48"/>
      <c r="Z19" s="48"/>
    </row>
    <row r="20" spans="1:26" x14ac:dyDescent="0.2">
      <c r="A20" s="48"/>
      <c r="B20" s="19" t="s">
        <v>98</v>
      </c>
      <c r="C20" s="120">
        <f ca="1">C8</f>
        <v>5</v>
      </c>
      <c r="D20" s="18"/>
      <c r="E20" s="48"/>
      <c r="F20" s="48"/>
      <c r="G20" s="48"/>
      <c r="H20" s="48"/>
      <c r="I20" s="48"/>
      <c r="J20" s="48"/>
      <c r="K20" s="48"/>
      <c r="L20" s="48"/>
      <c r="M20" s="48"/>
      <c r="N20" s="48"/>
      <c r="O20" s="48"/>
      <c r="P20" s="48"/>
      <c r="Q20" s="48"/>
      <c r="R20" s="48"/>
      <c r="S20" s="48"/>
      <c r="T20" s="48"/>
      <c r="U20" s="48"/>
      <c r="V20" s="48"/>
      <c r="W20" s="48"/>
      <c r="X20" s="48"/>
      <c r="Y20" s="48"/>
      <c r="Z20" s="48"/>
    </row>
    <row r="21" spans="1:26" x14ac:dyDescent="0.2">
      <c r="A21" s="48"/>
      <c r="B21" s="19" t="s">
        <v>99</v>
      </c>
      <c r="C21" s="28">
        <v>0.5</v>
      </c>
      <c r="D21" s="18" t="s">
        <v>36</v>
      </c>
      <c r="E21" s="48"/>
      <c r="F21" s="48"/>
      <c r="G21" s="48"/>
      <c r="H21" s="48"/>
      <c r="I21" s="48"/>
      <c r="J21" s="48"/>
      <c r="K21" s="48"/>
      <c r="L21" s="48"/>
      <c r="M21" s="48"/>
      <c r="N21" s="48"/>
      <c r="O21" s="48"/>
      <c r="P21" s="48"/>
      <c r="Q21" s="48"/>
      <c r="R21" s="48"/>
      <c r="S21" s="48"/>
      <c r="T21" s="48"/>
      <c r="U21" s="48"/>
      <c r="V21" s="48"/>
      <c r="W21" s="48"/>
      <c r="X21" s="48"/>
      <c r="Y21" s="48"/>
      <c r="Z21" s="48"/>
    </row>
    <row r="22" spans="1:26" x14ac:dyDescent="0.2">
      <c r="A22" s="48"/>
      <c r="B22" s="25"/>
      <c r="C22" s="17"/>
      <c r="D22" s="18"/>
      <c r="E22" s="48"/>
      <c r="F22" s="48"/>
      <c r="G22" s="48"/>
      <c r="H22" s="48"/>
      <c r="I22" s="48"/>
      <c r="J22" s="48"/>
      <c r="K22" s="48"/>
      <c r="L22" s="48"/>
      <c r="M22" s="48"/>
      <c r="N22" s="48"/>
      <c r="O22" s="48"/>
      <c r="P22" s="48"/>
      <c r="Q22" s="48"/>
      <c r="R22" s="48"/>
      <c r="S22" s="48"/>
      <c r="T22" s="48"/>
      <c r="U22" s="48"/>
      <c r="V22" s="48"/>
      <c r="W22" s="48"/>
      <c r="X22" s="48"/>
      <c r="Y22" s="48"/>
      <c r="Z22" s="48"/>
    </row>
    <row r="23" spans="1:26" x14ac:dyDescent="0.2">
      <c r="A23" s="48"/>
      <c r="B23" s="121" t="s">
        <v>100</v>
      </c>
      <c r="C23" s="122">
        <f ca="1">IF(C18="NO",(C16*12)/C19/100*C21*C20,(C17*10*12)/C19*C21/100*C20)</f>
        <v>519.23076923076928</v>
      </c>
      <c r="D23" s="18" t="s">
        <v>25</v>
      </c>
      <c r="E23" s="48"/>
      <c r="F23" s="48"/>
      <c r="G23" s="48"/>
      <c r="H23" s="48"/>
      <c r="I23" s="48"/>
      <c r="J23" s="48"/>
      <c r="K23" s="48"/>
      <c r="L23" s="48"/>
      <c r="M23" s="48"/>
      <c r="N23" s="48"/>
      <c r="O23" s="48"/>
      <c r="P23" s="48"/>
      <c r="Q23" s="48"/>
      <c r="R23" s="48"/>
      <c r="S23" s="48"/>
      <c r="T23" s="48"/>
      <c r="U23" s="48"/>
      <c r="V23" s="48"/>
      <c r="W23" s="48"/>
      <c r="X23" s="48"/>
      <c r="Y23" s="48"/>
      <c r="Z23" s="48"/>
    </row>
    <row r="24" spans="1:26" ht="13.5" thickBot="1" x14ac:dyDescent="0.25">
      <c r="A24" s="48"/>
      <c r="B24" s="27"/>
      <c r="C24" s="21"/>
      <c r="D24" s="22"/>
      <c r="E24" s="48"/>
      <c r="F24" s="48"/>
      <c r="G24" s="48"/>
      <c r="H24" s="48"/>
      <c r="I24" s="48"/>
      <c r="J24" s="48"/>
      <c r="K24" s="48"/>
      <c r="L24" s="48"/>
      <c r="M24" s="48"/>
      <c r="N24" s="48"/>
      <c r="O24" s="48"/>
      <c r="P24" s="48"/>
      <c r="Q24" s="48"/>
      <c r="R24" s="48"/>
      <c r="S24" s="48"/>
      <c r="T24" s="48"/>
      <c r="U24" s="48"/>
      <c r="V24" s="48"/>
      <c r="W24" s="48"/>
      <c r="X24" s="48"/>
      <c r="Y24" s="48"/>
      <c r="Z24" s="48"/>
    </row>
    <row r="25" spans="1:26" x14ac:dyDescent="0.2">
      <c r="A25" s="48"/>
      <c r="B25" s="48"/>
      <c r="C25" s="48"/>
      <c r="D25" s="48"/>
      <c r="E25" s="48"/>
      <c r="F25" s="48"/>
      <c r="G25" s="48"/>
      <c r="H25" s="48"/>
      <c r="I25" s="48"/>
      <c r="J25" s="48"/>
      <c r="K25" s="48"/>
      <c r="L25" s="48"/>
      <c r="M25" s="48"/>
      <c r="N25" s="48"/>
      <c r="O25" s="48"/>
      <c r="P25" s="48"/>
      <c r="Q25" s="48"/>
      <c r="R25" s="48"/>
      <c r="S25" s="48"/>
      <c r="T25" s="48"/>
      <c r="U25" s="48"/>
      <c r="V25" s="48"/>
      <c r="W25" s="48"/>
      <c r="X25" s="48"/>
      <c r="Y25" s="48"/>
      <c r="Z25" s="48"/>
    </row>
    <row r="26" spans="1:26" ht="13.5" thickBot="1" x14ac:dyDescent="0.25">
      <c r="A26" s="48"/>
      <c r="B26" s="48"/>
      <c r="C26" s="48"/>
      <c r="D26" s="48"/>
      <c r="E26" s="48"/>
      <c r="F26" s="48"/>
      <c r="G26" s="48"/>
      <c r="H26" s="48"/>
      <c r="I26" s="48"/>
      <c r="J26" s="48"/>
      <c r="K26" s="48"/>
      <c r="L26" s="48"/>
      <c r="M26" s="48"/>
      <c r="N26" s="48"/>
      <c r="O26" s="48"/>
      <c r="P26" s="48"/>
      <c r="Q26" s="48"/>
      <c r="R26" s="48"/>
      <c r="S26" s="48"/>
      <c r="T26" s="48"/>
      <c r="U26" s="48"/>
      <c r="V26" s="48"/>
      <c r="W26" s="48"/>
      <c r="X26" s="48"/>
      <c r="Y26" s="48"/>
      <c r="Z26" s="48"/>
    </row>
    <row r="27" spans="1:26" x14ac:dyDescent="0.2">
      <c r="A27" s="48"/>
      <c r="B27" s="440" t="s">
        <v>103</v>
      </c>
      <c r="C27" s="441"/>
      <c r="D27" s="442"/>
      <c r="E27" s="48"/>
      <c r="F27" s="48"/>
      <c r="G27" s="48"/>
      <c r="H27" s="48"/>
      <c r="I27" s="48"/>
      <c r="J27" s="48"/>
      <c r="K27" s="48"/>
      <c r="L27" s="48"/>
      <c r="M27" s="48"/>
      <c r="N27" s="48"/>
      <c r="O27" s="48"/>
      <c r="P27" s="48"/>
      <c r="Q27" s="48"/>
      <c r="R27" s="48"/>
      <c r="S27" s="48"/>
      <c r="T27" s="48"/>
      <c r="U27" s="48"/>
      <c r="V27" s="48"/>
      <c r="W27" s="48"/>
      <c r="X27" s="48"/>
      <c r="Y27" s="48"/>
      <c r="Z27" s="48"/>
    </row>
    <row r="28" spans="1:26" x14ac:dyDescent="0.2">
      <c r="A28" s="48"/>
      <c r="B28" s="19" t="s">
        <v>22</v>
      </c>
      <c r="C28" s="123">
        <f>Main!C8</f>
        <v>90000</v>
      </c>
      <c r="D28" s="18" t="s">
        <v>25</v>
      </c>
      <c r="E28" s="48"/>
      <c r="F28" s="48"/>
      <c r="G28" s="48"/>
      <c r="H28" s="48"/>
      <c r="I28" s="48"/>
      <c r="J28" s="48"/>
      <c r="K28" s="48"/>
      <c r="L28" s="48"/>
      <c r="M28" s="48"/>
      <c r="N28" s="48"/>
      <c r="O28" s="48"/>
      <c r="P28" s="48"/>
      <c r="Q28" s="48"/>
      <c r="R28" s="48"/>
      <c r="S28" s="48"/>
      <c r="T28" s="48"/>
      <c r="U28" s="48"/>
      <c r="V28" s="48"/>
      <c r="W28" s="48"/>
      <c r="X28" s="48"/>
      <c r="Y28" s="48"/>
      <c r="Z28" s="48"/>
    </row>
    <row r="29" spans="1:26" x14ac:dyDescent="0.2">
      <c r="A29" s="48"/>
      <c r="B29" s="19" t="s">
        <v>104</v>
      </c>
      <c r="C29" s="23">
        <v>1</v>
      </c>
      <c r="D29" s="18" t="s">
        <v>36</v>
      </c>
      <c r="E29" s="48"/>
      <c r="F29" s="48"/>
      <c r="G29" s="48"/>
      <c r="H29" s="48"/>
      <c r="I29" s="48"/>
      <c r="J29" s="48"/>
      <c r="K29" s="48"/>
      <c r="L29" s="48"/>
      <c r="M29" s="48"/>
      <c r="N29" s="48"/>
      <c r="O29" s="48"/>
      <c r="P29" s="48"/>
      <c r="Q29" s="48"/>
      <c r="R29" s="48"/>
      <c r="S29" s="48"/>
      <c r="T29" s="48"/>
      <c r="U29" s="48"/>
      <c r="V29" s="48"/>
      <c r="W29" s="48"/>
      <c r="X29" s="48"/>
      <c r="Y29" s="48"/>
      <c r="Z29" s="48"/>
    </row>
    <row r="30" spans="1:26" x14ac:dyDescent="0.2">
      <c r="A30" s="48"/>
      <c r="B30" s="19"/>
      <c r="C30" s="17"/>
      <c r="D30" s="18"/>
      <c r="E30" s="48"/>
      <c r="F30" s="48"/>
      <c r="G30" s="48"/>
      <c r="H30" s="48"/>
      <c r="I30" s="48"/>
      <c r="J30" s="48"/>
      <c r="K30" s="48"/>
      <c r="L30" s="48"/>
      <c r="M30" s="48"/>
      <c r="N30" s="48"/>
      <c r="O30" s="48"/>
      <c r="P30" s="48"/>
      <c r="Q30" s="48"/>
      <c r="R30" s="48"/>
      <c r="S30" s="48"/>
      <c r="T30" s="48"/>
      <c r="U30" s="48"/>
      <c r="V30" s="48"/>
      <c r="W30" s="48"/>
      <c r="X30" s="48"/>
      <c r="Y30" s="48"/>
      <c r="Z30" s="48"/>
    </row>
    <row r="31" spans="1:26" x14ac:dyDescent="0.2">
      <c r="A31" s="48"/>
      <c r="B31" s="121" t="s">
        <v>100</v>
      </c>
      <c r="C31" s="124">
        <f>C28*C29/100</f>
        <v>900</v>
      </c>
      <c r="D31" s="125" t="s">
        <v>25</v>
      </c>
      <c r="E31" s="48"/>
      <c r="F31" s="48"/>
      <c r="G31" s="48"/>
      <c r="H31" s="48"/>
      <c r="I31" s="48"/>
      <c r="J31" s="48"/>
      <c r="K31" s="48"/>
      <c r="L31" s="48"/>
      <c r="M31" s="48"/>
      <c r="N31" s="48"/>
      <c r="O31" s="48"/>
      <c r="P31" s="48"/>
      <c r="Q31" s="48"/>
      <c r="R31" s="48"/>
      <c r="S31" s="48"/>
      <c r="T31" s="48"/>
      <c r="U31" s="48"/>
      <c r="V31" s="48"/>
      <c r="W31" s="48"/>
      <c r="X31" s="48"/>
      <c r="Y31" s="48"/>
      <c r="Z31" s="48"/>
    </row>
    <row r="32" spans="1:26" ht="13.5" thickBot="1" x14ac:dyDescent="0.25">
      <c r="A32" s="48"/>
      <c r="B32" s="27"/>
      <c r="C32" s="21"/>
      <c r="D32" s="22"/>
      <c r="E32" s="48"/>
      <c r="F32" s="48"/>
      <c r="G32" s="48"/>
      <c r="H32" s="48"/>
      <c r="I32" s="48"/>
      <c r="J32" s="48"/>
      <c r="K32" s="48"/>
      <c r="L32" s="48"/>
      <c r="M32" s="48"/>
      <c r="N32" s="48"/>
      <c r="O32" s="48"/>
      <c r="P32" s="48"/>
      <c r="Q32" s="48"/>
      <c r="R32" s="48"/>
      <c r="S32" s="48"/>
      <c r="T32" s="48"/>
      <c r="U32" s="48"/>
      <c r="V32" s="48"/>
      <c r="W32" s="48"/>
      <c r="X32" s="48"/>
      <c r="Y32" s="48"/>
      <c r="Z32" s="48"/>
    </row>
    <row r="33" spans="1:26" ht="13.5" thickBot="1" x14ac:dyDescent="0.25">
      <c r="A33" s="48"/>
      <c r="B33" s="443" t="s">
        <v>105</v>
      </c>
      <c r="C33" s="444"/>
      <c r="D33" s="445"/>
      <c r="E33" s="48"/>
      <c r="F33" s="48"/>
      <c r="G33" s="48"/>
      <c r="H33" s="48"/>
      <c r="I33" s="48"/>
      <c r="J33" s="48"/>
      <c r="K33" s="48"/>
      <c r="L33" s="48"/>
      <c r="M33" s="48"/>
      <c r="N33" s="48"/>
      <c r="O33" s="48"/>
      <c r="P33" s="48"/>
      <c r="Q33" s="48"/>
      <c r="R33" s="48"/>
      <c r="S33" s="48"/>
      <c r="T33" s="48"/>
      <c r="U33" s="48"/>
      <c r="V33" s="48"/>
      <c r="W33" s="48"/>
      <c r="X33" s="48"/>
      <c r="Y33" s="48"/>
      <c r="Z33" s="48"/>
    </row>
    <row r="34" spans="1:26" x14ac:dyDescent="0.2">
      <c r="A34" s="48"/>
      <c r="B34" s="48"/>
      <c r="C34" s="48"/>
      <c r="D34" s="48"/>
      <c r="E34" s="48"/>
      <c r="F34" s="48"/>
      <c r="G34" s="48"/>
      <c r="H34" s="48"/>
      <c r="I34" s="48"/>
      <c r="J34" s="48"/>
      <c r="K34" s="48"/>
      <c r="L34" s="48"/>
      <c r="M34" s="48"/>
      <c r="N34" s="48"/>
      <c r="O34" s="48"/>
      <c r="P34" s="48"/>
      <c r="Q34" s="48"/>
      <c r="R34" s="48"/>
      <c r="S34" s="48"/>
      <c r="T34" s="48"/>
      <c r="U34" s="48"/>
      <c r="V34" s="48"/>
      <c r="W34" s="48"/>
      <c r="X34" s="48"/>
      <c r="Y34" s="48"/>
      <c r="Z34" s="48"/>
    </row>
    <row r="35" spans="1:26" x14ac:dyDescent="0.2">
      <c r="A35" s="48"/>
      <c r="B35" s="48"/>
      <c r="C35" s="48"/>
      <c r="D35" s="48"/>
      <c r="E35" s="48"/>
      <c r="F35" s="48"/>
      <c r="G35" s="48"/>
      <c r="H35" s="48"/>
      <c r="I35" s="48"/>
      <c r="J35" s="48"/>
      <c r="K35" s="48"/>
      <c r="L35" s="48"/>
      <c r="M35" s="48"/>
      <c r="N35" s="48"/>
      <c r="O35" s="48"/>
      <c r="P35" s="48"/>
      <c r="Q35" s="48"/>
      <c r="R35" s="48"/>
      <c r="S35" s="48"/>
      <c r="T35" s="48"/>
      <c r="U35" s="48"/>
      <c r="V35" s="48"/>
      <c r="W35" s="48"/>
      <c r="X35" s="48"/>
      <c r="Y35" s="48"/>
      <c r="Z35" s="48"/>
    </row>
    <row r="36" spans="1:26" ht="13.5" thickBot="1" x14ac:dyDescent="0.25">
      <c r="A36" s="48"/>
      <c r="B36" s="126" t="s">
        <v>106</v>
      </c>
      <c r="C36" s="127">
        <f ca="1">C31+C23+C11</f>
        <v>5573.0769230769238</v>
      </c>
      <c r="D36" s="128" t="s">
        <v>25</v>
      </c>
      <c r="E36" s="48"/>
      <c r="F36" s="48"/>
      <c r="G36" s="48"/>
      <c r="H36" s="48"/>
      <c r="I36" s="48"/>
      <c r="J36" s="48"/>
      <c r="K36" s="48"/>
      <c r="L36" s="48"/>
      <c r="M36" s="48"/>
      <c r="N36" s="48"/>
      <c r="O36" s="48"/>
      <c r="P36" s="48"/>
      <c r="Q36" s="48"/>
      <c r="R36" s="48"/>
      <c r="S36" s="48"/>
      <c r="T36" s="48"/>
      <c r="U36" s="48"/>
      <c r="V36" s="48"/>
      <c r="W36" s="48"/>
      <c r="X36" s="48"/>
      <c r="Y36" s="48"/>
      <c r="Z36" s="48"/>
    </row>
    <row r="37" spans="1:26" x14ac:dyDescent="0.2">
      <c r="A37" s="48"/>
      <c r="B37" s="48"/>
      <c r="C37" s="48"/>
      <c r="D37" s="48"/>
      <c r="E37" s="48"/>
      <c r="F37" s="48"/>
      <c r="G37" s="48"/>
      <c r="H37" s="48"/>
      <c r="I37" s="48"/>
      <c r="J37" s="48"/>
      <c r="K37" s="48"/>
      <c r="L37" s="48"/>
      <c r="M37" s="48"/>
      <c r="N37" s="48"/>
      <c r="O37" s="48"/>
      <c r="P37" s="48"/>
      <c r="Q37" s="48"/>
      <c r="R37" s="48"/>
      <c r="S37" s="48"/>
      <c r="T37" s="48"/>
      <c r="U37" s="48"/>
      <c r="V37" s="48"/>
      <c r="W37" s="48"/>
      <c r="X37" s="48"/>
      <c r="Y37" s="48"/>
      <c r="Z37" s="48"/>
    </row>
    <row r="38" spans="1:26" x14ac:dyDescent="0.2">
      <c r="A38" s="48"/>
      <c r="B38" s="48"/>
      <c r="C38" s="48"/>
      <c r="D38" s="48"/>
      <c r="E38" s="48"/>
      <c r="F38" s="48"/>
      <c r="G38" s="48"/>
      <c r="H38" s="48"/>
      <c r="I38" s="48"/>
      <c r="J38" s="48"/>
      <c r="K38" s="48"/>
      <c r="L38" s="48"/>
      <c r="M38" s="48"/>
      <c r="N38" s="48"/>
      <c r="O38" s="48"/>
      <c r="P38" s="48"/>
      <c r="Q38" s="48"/>
      <c r="R38" s="48"/>
      <c r="S38" s="48"/>
      <c r="T38" s="48"/>
      <c r="U38" s="48"/>
      <c r="V38" s="48"/>
      <c r="W38" s="48"/>
      <c r="X38" s="48"/>
      <c r="Y38" s="48"/>
      <c r="Z38" s="48"/>
    </row>
    <row r="39" spans="1:26" x14ac:dyDescent="0.2">
      <c r="A39" s="48"/>
      <c r="B39" s="48"/>
      <c r="C39" s="48"/>
      <c r="D39" s="48"/>
      <c r="E39" s="48"/>
      <c r="F39" s="48"/>
      <c r="G39" s="48"/>
      <c r="H39" s="48"/>
      <c r="I39" s="48"/>
      <c r="J39" s="48"/>
      <c r="K39" s="48"/>
      <c r="L39" s="48"/>
      <c r="M39" s="48"/>
      <c r="N39" s="48"/>
      <c r="O39" s="48"/>
      <c r="P39" s="48"/>
      <c r="Q39" s="48"/>
      <c r="R39" s="48"/>
      <c r="S39" s="48"/>
      <c r="T39" s="48"/>
      <c r="U39" s="48"/>
      <c r="V39" s="48"/>
      <c r="W39" s="48"/>
      <c r="X39" s="48"/>
      <c r="Y39" s="48"/>
      <c r="Z39" s="48"/>
    </row>
    <row r="40" spans="1:26" x14ac:dyDescent="0.2">
      <c r="A40" s="48"/>
      <c r="B40" s="48"/>
      <c r="C40" s="48"/>
      <c r="D40" s="48"/>
      <c r="E40" s="48"/>
      <c r="F40" s="48"/>
      <c r="G40" s="48"/>
      <c r="H40" s="48"/>
      <c r="I40" s="48"/>
      <c r="J40" s="48"/>
      <c r="K40" s="48"/>
      <c r="L40" s="48"/>
      <c r="M40" s="48"/>
      <c r="N40" s="48"/>
      <c r="O40" s="48"/>
      <c r="P40" s="48"/>
      <c r="Q40" s="48"/>
      <c r="R40" s="48"/>
      <c r="S40" s="48"/>
      <c r="T40" s="48"/>
      <c r="U40" s="48"/>
      <c r="V40" s="48"/>
      <c r="W40" s="48"/>
      <c r="X40" s="48"/>
      <c r="Y40" s="48"/>
      <c r="Z40" s="48"/>
    </row>
    <row r="41" spans="1:26" x14ac:dyDescent="0.2">
      <c r="A41" s="48"/>
      <c r="B41" s="48"/>
      <c r="C41" s="48"/>
      <c r="D41" s="48"/>
      <c r="E41" s="48"/>
      <c r="F41" s="48"/>
      <c r="G41" s="48"/>
      <c r="H41" s="48"/>
      <c r="I41" s="48"/>
      <c r="J41" s="48"/>
      <c r="K41" s="48"/>
      <c r="L41" s="48"/>
      <c r="M41" s="48"/>
      <c r="N41" s="48"/>
      <c r="O41" s="48"/>
      <c r="P41" s="48"/>
      <c r="Q41" s="48"/>
      <c r="R41" s="48"/>
      <c r="S41" s="48"/>
      <c r="T41" s="48"/>
      <c r="U41" s="48"/>
      <c r="V41" s="48"/>
      <c r="W41" s="48"/>
      <c r="X41" s="48"/>
      <c r="Y41" s="48"/>
      <c r="Z41" s="48"/>
    </row>
    <row r="42" spans="1:26" x14ac:dyDescent="0.2">
      <c r="A42" s="48"/>
      <c r="B42" s="48"/>
      <c r="C42" s="48"/>
      <c r="D42" s="48"/>
      <c r="E42" s="48"/>
      <c r="F42" s="48"/>
      <c r="G42" s="48"/>
      <c r="H42" s="48"/>
      <c r="I42" s="48"/>
      <c r="J42" s="48"/>
      <c r="K42" s="48"/>
      <c r="L42" s="48"/>
      <c r="M42" s="48"/>
      <c r="N42" s="48"/>
      <c r="O42" s="48"/>
      <c r="P42" s="48"/>
      <c r="Q42" s="48"/>
      <c r="R42" s="48"/>
      <c r="S42" s="48"/>
      <c r="T42" s="48"/>
      <c r="U42" s="48"/>
      <c r="V42" s="48"/>
      <c r="W42" s="48"/>
      <c r="X42" s="48"/>
      <c r="Y42" s="48"/>
      <c r="Z42" s="48"/>
    </row>
    <row r="43" spans="1:26" x14ac:dyDescent="0.2">
      <c r="A43" s="48"/>
      <c r="B43" s="48"/>
      <c r="C43" s="48"/>
      <c r="D43" s="48"/>
      <c r="E43" s="48"/>
      <c r="F43" s="48"/>
      <c r="G43" s="48"/>
      <c r="H43" s="48"/>
      <c r="I43" s="48"/>
      <c r="J43" s="48"/>
      <c r="K43" s="48"/>
      <c r="L43" s="48"/>
      <c r="M43" s="48"/>
      <c r="N43" s="48"/>
      <c r="O43" s="48"/>
      <c r="P43" s="48"/>
      <c r="Q43" s="48"/>
      <c r="R43" s="48"/>
      <c r="S43" s="48"/>
      <c r="T43" s="48"/>
      <c r="U43" s="48"/>
      <c r="V43" s="48"/>
      <c r="W43" s="48"/>
      <c r="X43" s="48"/>
      <c r="Y43" s="48"/>
      <c r="Z43" s="48"/>
    </row>
    <row r="44" spans="1:26" x14ac:dyDescent="0.2">
      <c r="A44" s="48"/>
      <c r="B44" s="48"/>
      <c r="C44" s="48"/>
      <c r="D44" s="48"/>
      <c r="E44" s="48"/>
      <c r="F44" s="48"/>
      <c r="G44" s="48"/>
      <c r="H44" s="48"/>
      <c r="I44" s="48"/>
      <c r="J44" s="48"/>
      <c r="K44" s="48"/>
      <c r="L44" s="48"/>
      <c r="M44" s="48"/>
      <c r="N44" s="48"/>
      <c r="O44" s="48"/>
      <c r="P44" s="48"/>
      <c r="Q44" s="48"/>
      <c r="R44" s="48"/>
      <c r="S44" s="48"/>
      <c r="T44" s="48"/>
      <c r="U44" s="48"/>
      <c r="V44" s="48"/>
      <c r="W44" s="48"/>
      <c r="X44" s="48"/>
      <c r="Y44" s="48"/>
      <c r="Z44" s="48"/>
    </row>
    <row r="45" spans="1:26" x14ac:dyDescent="0.2">
      <c r="A45" s="48"/>
      <c r="B45" s="48"/>
      <c r="C45" s="48"/>
      <c r="D45" s="48"/>
      <c r="E45" s="48"/>
      <c r="F45" s="48"/>
      <c r="G45" s="48"/>
      <c r="H45" s="48"/>
      <c r="I45" s="48"/>
      <c r="J45" s="48"/>
      <c r="K45" s="48"/>
      <c r="L45" s="48"/>
      <c r="M45" s="48"/>
      <c r="N45" s="48"/>
      <c r="O45" s="48"/>
      <c r="P45" s="48"/>
      <c r="Q45" s="48"/>
      <c r="R45" s="48"/>
      <c r="S45" s="48"/>
      <c r="T45" s="48"/>
      <c r="U45" s="48"/>
      <c r="V45" s="48"/>
      <c r="W45" s="48"/>
      <c r="X45" s="48"/>
      <c r="Y45" s="48"/>
      <c r="Z45" s="48"/>
    </row>
    <row r="46" spans="1:26" x14ac:dyDescent="0.2">
      <c r="A46" s="48"/>
      <c r="B46" s="48"/>
      <c r="C46" s="48"/>
      <c r="D46" s="48"/>
      <c r="E46" s="48"/>
      <c r="F46" s="48"/>
      <c r="G46" s="48"/>
      <c r="H46" s="48"/>
      <c r="I46" s="48"/>
      <c r="J46" s="48"/>
      <c r="K46" s="48"/>
      <c r="L46" s="48"/>
      <c r="M46" s="48"/>
      <c r="N46" s="48"/>
      <c r="O46" s="48"/>
      <c r="P46" s="48"/>
      <c r="Q46" s="48"/>
      <c r="R46" s="48"/>
      <c r="S46" s="48"/>
      <c r="T46" s="48"/>
      <c r="U46" s="48"/>
      <c r="V46" s="48"/>
      <c r="W46" s="48"/>
      <c r="X46" s="48"/>
      <c r="Y46" s="48"/>
      <c r="Z46" s="48"/>
    </row>
    <row r="47" spans="1:26" x14ac:dyDescent="0.2">
      <c r="A47" s="48"/>
      <c r="B47" s="48"/>
      <c r="C47" s="48"/>
      <c r="D47" s="48"/>
      <c r="E47" s="48"/>
      <c r="F47" s="48"/>
      <c r="G47" s="48"/>
      <c r="H47" s="48"/>
      <c r="I47" s="48"/>
      <c r="J47" s="48"/>
      <c r="K47" s="48"/>
      <c r="L47" s="48"/>
      <c r="M47" s="48"/>
      <c r="N47" s="48"/>
      <c r="O47" s="48"/>
      <c r="P47" s="48"/>
      <c r="Q47" s="48"/>
      <c r="R47" s="48"/>
      <c r="S47" s="48"/>
      <c r="T47" s="48"/>
      <c r="U47" s="48"/>
      <c r="V47" s="48"/>
      <c r="W47" s="48"/>
      <c r="X47" s="48"/>
      <c r="Y47" s="48"/>
      <c r="Z47" s="48"/>
    </row>
    <row r="48" spans="1:26" x14ac:dyDescent="0.2">
      <c r="A48" s="48"/>
      <c r="B48" s="48"/>
      <c r="C48" s="48"/>
      <c r="D48" s="48"/>
      <c r="E48" s="48"/>
      <c r="F48" s="48"/>
      <c r="G48" s="48"/>
      <c r="H48" s="48"/>
      <c r="I48" s="48"/>
      <c r="J48" s="48"/>
      <c r="K48" s="48"/>
      <c r="L48" s="48"/>
      <c r="M48" s="48"/>
      <c r="N48" s="48"/>
      <c r="O48" s="48"/>
      <c r="P48" s="48"/>
      <c r="Q48" s="48"/>
      <c r="R48" s="48"/>
      <c r="S48" s="48"/>
      <c r="T48" s="48"/>
      <c r="U48" s="48"/>
      <c r="V48" s="48"/>
      <c r="W48" s="48"/>
      <c r="X48" s="48"/>
      <c r="Y48" s="48"/>
      <c r="Z48" s="48"/>
    </row>
    <row r="49" spans="1:26" x14ac:dyDescent="0.2">
      <c r="A49" s="48"/>
      <c r="B49" s="48"/>
      <c r="C49" s="48"/>
      <c r="D49" s="48"/>
      <c r="E49" s="48"/>
      <c r="F49" s="48"/>
      <c r="G49" s="48"/>
      <c r="H49" s="48"/>
      <c r="I49" s="48"/>
      <c r="J49" s="48"/>
      <c r="K49" s="48"/>
      <c r="L49" s="48"/>
      <c r="M49" s="48"/>
      <c r="N49" s="48"/>
      <c r="O49" s="48"/>
      <c r="P49" s="48"/>
      <c r="Q49" s="48"/>
      <c r="R49" s="48"/>
      <c r="S49" s="48"/>
      <c r="T49" s="48"/>
      <c r="U49" s="48"/>
      <c r="V49" s="48"/>
      <c r="W49" s="48"/>
      <c r="X49" s="48"/>
      <c r="Y49" s="48"/>
      <c r="Z49" s="48"/>
    </row>
    <row r="50" spans="1:26" x14ac:dyDescent="0.2">
      <c r="A50" s="48"/>
      <c r="B50" s="48"/>
      <c r="C50" s="48"/>
      <c r="D50" s="48"/>
      <c r="E50" s="48"/>
      <c r="F50" s="48"/>
      <c r="G50" s="48"/>
      <c r="H50" s="48"/>
      <c r="I50" s="48"/>
      <c r="J50" s="48"/>
      <c r="K50" s="48"/>
      <c r="L50" s="48"/>
      <c r="M50" s="48"/>
      <c r="N50" s="48"/>
      <c r="O50" s="48"/>
      <c r="P50" s="48"/>
      <c r="Q50" s="48"/>
      <c r="R50" s="48"/>
      <c r="S50" s="48"/>
      <c r="T50" s="48"/>
      <c r="U50" s="48"/>
      <c r="V50" s="48"/>
      <c r="W50" s="48"/>
      <c r="X50" s="48"/>
      <c r="Y50" s="48"/>
      <c r="Z50" s="48"/>
    </row>
    <row r="51" spans="1:26" x14ac:dyDescent="0.2">
      <c r="A51" s="48"/>
      <c r="B51" s="48"/>
      <c r="C51" s="48"/>
      <c r="D51" s="48"/>
      <c r="E51" s="48"/>
      <c r="F51" s="48"/>
      <c r="G51" s="48"/>
      <c r="H51" s="48"/>
      <c r="I51" s="48"/>
      <c r="J51" s="48"/>
      <c r="K51" s="48"/>
      <c r="L51" s="48"/>
      <c r="M51" s="48"/>
      <c r="N51" s="48"/>
      <c r="O51" s="48"/>
      <c r="P51" s="48"/>
      <c r="Q51" s="48"/>
      <c r="R51" s="48"/>
      <c r="S51" s="48"/>
      <c r="T51" s="48"/>
      <c r="U51" s="48"/>
      <c r="V51" s="48"/>
      <c r="W51" s="48"/>
      <c r="X51" s="48"/>
      <c r="Y51" s="48"/>
      <c r="Z51" s="48"/>
    </row>
    <row r="52" spans="1:26" x14ac:dyDescent="0.2">
      <c r="A52" s="48"/>
      <c r="B52" s="48"/>
      <c r="C52" s="48"/>
      <c r="D52" s="48"/>
      <c r="E52" s="48"/>
      <c r="F52" s="48"/>
      <c r="G52" s="48"/>
      <c r="H52" s="48"/>
      <c r="I52" s="48"/>
      <c r="J52" s="48"/>
      <c r="K52" s="48"/>
      <c r="L52" s="48"/>
      <c r="M52" s="48"/>
      <c r="N52" s="48"/>
      <c r="O52" s="48"/>
      <c r="P52" s="48"/>
      <c r="Q52" s="48"/>
      <c r="R52" s="48"/>
      <c r="S52" s="48"/>
      <c r="T52" s="48"/>
      <c r="U52" s="48"/>
      <c r="V52" s="48"/>
      <c r="W52" s="48"/>
      <c r="X52" s="48"/>
      <c r="Y52" s="48"/>
      <c r="Z52" s="48"/>
    </row>
    <row r="53" spans="1:26" x14ac:dyDescent="0.2">
      <c r="A53" s="48"/>
      <c r="B53" s="48"/>
      <c r="C53" s="48"/>
      <c r="D53" s="48"/>
      <c r="E53" s="48"/>
      <c r="F53" s="48"/>
      <c r="G53" s="48"/>
      <c r="H53" s="48"/>
      <c r="I53" s="48"/>
      <c r="J53" s="48"/>
      <c r="K53" s="48"/>
      <c r="L53" s="48"/>
      <c r="M53" s="48"/>
      <c r="N53" s="48"/>
      <c r="O53" s="48"/>
      <c r="P53" s="48"/>
      <c r="Q53" s="48"/>
      <c r="R53" s="48"/>
      <c r="S53" s="48"/>
      <c r="T53" s="48"/>
      <c r="U53" s="48"/>
      <c r="V53" s="48"/>
      <c r="W53" s="48"/>
      <c r="X53" s="48"/>
      <c r="Y53" s="48"/>
      <c r="Z53" s="48"/>
    </row>
    <row r="54" spans="1:26" x14ac:dyDescent="0.2">
      <c r="A54" s="48"/>
      <c r="B54" s="48"/>
      <c r="C54" s="48"/>
      <c r="D54" s="48"/>
      <c r="E54" s="48"/>
      <c r="F54" s="48"/>
      <c r="G54" s="48"/>
      <c r="H54" s="48"/>
      <c r="I54" s="48"/>
      <c r="J54" s="48"/>
      <c r="K54" s="48"/>
      <c r="L54" s="48"/>
      <c r="M54" s="48"/>
      <c r="N54" s="48"/>
      <c r="O54" s="48"/>
      <c r="P54" s="48"/>
      <c r="Q54" s="48"/>
      <c r="R54" s="48"/>
      <c r="S54" s="48"/>
      <c r="T54" s="48"/>
      <c r="U54" s="48"/>
      <c r="V54" s="48"/>
      <c r="W54" s="48"/>
      <c r="X54" s="48"/>
      <c r="Y54" s="48"/>
      <c r="Z54" s="48"/>
    </row>
    <row r="55" spans="1:26" x14ac:dyDescent="0.2">
      <c r="A55" s="48"/>
      <c r="B55" s="48"/>
      <c r="C55" s="48"/>
      <c r="D55" s="48"/>
      <c r="E55" s="48"/>
      <c r="F55" s="48"/>
      <c r="G55" s="48"/>
      <c r="H55" s="48"/>
      <c r="I55" s="48"/>
      <c r="J55" s="48"/>
      <c r="K55" s="48"/>
      <c r="L55" s="48"/>
      <c r="M55" s="48"/>
      <c r="N55" s="48"/>
      <c r="O55" s="48"/>
      <c r="P55" s="48"/>
      <c r="Q55" s="48"/>
      <c r="R55" s="48"/>
      <c r="S55" s="48"/>
      <c r="T55" s="48"/>
      <c r="U55" s="48"/>
      <c r="V55" s="48"/>
      <c r="W55" s="48"/>
      <c r="X55" s="48"/>
      <c r="Y55" s="48"/>
      <c r="Z55" s="48"/>
    </row>
    <row r="56" spans="1:26" x14ac:dyDescent="0.2">
      <c r="A56" s="48"/>
      <c r="B56" s="48"/>
      <c r="C56" s="48"/>
      <c r="D56" s="48"/>
      <c r="E56" s="48"/>
      <c r="F56" s="48"/>
      <c r="G56" s="48"/>
      <c r="H56" s="48"/>
      <c r="I56" s="48"/>
      <c r="J56" s="48"/>
      <c r="K56" s="48"/>
      <c r="L56" s="48"/>
      <c r="M56" s="48"/>
      <c r="N56" s="48"/>
      <c r="O56" s="48"/>
      <c r="P56" s="48"/>
      <c r="Q56" s="48"/>
      <c r="R56" s="48"/>
      <c r="S56" s="48"/>
      <c r="T56" s="48"/>
      <c r="U56" s="48"/>
      <c r="V56" s="48"/>
      <c r="W56" s="48"/>
      <c r="X56" s="48"/>
      <c r="Y56" s="48"/>
      <c r="Z56" s="48"/>
    </row>
    <row r="57" spans="1:26" x14ac:dyDescent="0.2">
      <c r="A57" s="48"/>
      <c r="B57" s="48"/>
      <c r="C57" s="48"/>
      <c r="D57" s="48"/>
      <c r="E57" s="48"/>
      <c r="F57" s="48"/>
      <c r="G57" s="48"/>
      <c r="H57" s="48"/>
      <c r="I57" s="48"/>
      <c r="J57" s="48"/>
      <c r="K57" s="48"/>
      <c r="L57" s="48"/>
      <c r="M57" s="48"/>
      <c r="N57" s="48"/>
      <c r="O57" s="48"/>
      <c r="P57" s="48"/>
      <c r="Q57" s="48"/>
      <c r="R57" s="48"/>
      <c r="S57" s="48"/>
      <c r="T57" s="48"/>
      <c r="U57" s="48"/>
      <c r="V57" s="48"/>
      <c r="W57" s="48"/>
      <c r="X57" s="48"/>
      <c r="Y57" s="48"/>
      <c r="Z57" s="48"/>
    </row>
  </sheetData>
  <sheetProtection sheet="1"/>
  <protectedRanges>
    <protectedRange sqref="C9 C21 C29" name="Rango1"/>
  </protectedRanges>
  <mergeCells count="5">
    <mergeCell ref="B1:D1"/>
    <mergeCell ref="B3:D3"/>
    <mergeCell ref="B15:D15"/>
    <mergeCell ref="B27:D27"/>
    <mergeCell ref="B33:D33"/>
  </mergeCells>
  <hyperlinks>
    <hyperlink ref="B33:D33" r:id="rId1" display="Ley de Politica habitacional"/>
    <hyperlink ref="E1" location="Main!A1" display="VOLVER"/>
  </hyperlinks>
  <printOptions horizontalCentered="1" verticalCentered="1"/>
  <pageMargins left="0.74803149606299213" right="0.74803149606299213" top="0.98425196850393704" bottom="0.98425196850393704" header="0" footer="0"/>
  <pageSetup paperSize="9" orientation="portrait" r:id="rId2"/>
  <headerFooter alignWithMargins="0"/>
  <colBreaks count="1" manualBreakCount="1">
    <brk id="4" max="1048575" man="1"/>
  </colBreaks>
  <drawing r:id="rId3"/>
  <legacyDrawing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3"/>
  <dimension ref="B1:H31"/>
  <sheetViews>
    <sheetView showGridLines="0" topLeftCell="A15" workbookViewId="0">
      <selection activeCell="F31" sqref="F31:H31"/>
    </sheetView>
  </sheetViews>
  <sheetFormatPr baseColWidth="10" defaultColWidth="9.140625" defaultRowHeight="15" x14ac:dyDescent="0.25"/>
  <cols>
    <col min="1" max="1" width="11.42578125" customWidth="1"/>
    <col min="2" max="2" width="2.85546875" customWidth="1"/>
    <col min="3" max="3" width="12.85546875" customWidth="1"/>
    <col min="4" max="4" width="16.140625" customWidth="1"/>
    <col min="5" max="5" width="14.140625" customWidth="1"/>
    <col min="6" max="6" width="15.7109375" customWidth="1"/>
    <col min="7" max="7" width="2.42578125" customWidth="1"/>
    <col min="8" max="8" width="2.85546875" customWidth="1"/>
  </cols>
  <sheetData>
    <row r="1" spans="2:8" ht="15.75" thickBot="1" x14ac:dyDescent="0.3"/>
    <row r="2" spans="2:8" ht="15.75" thickBot="1" x14ac:dyDescent="0.3">
      <c r="B2" s="1"/>
      <c r="C2" s="2"/>
      <c r="D2" s="2"/>
      <c r="E2" s="2"/>
      <c r="F2" s="2"/>
      <c r="G2" s="2"/>
      <c r="H2" s="3"/>
    </row>
    <row r="3" spans="2:8" x14ac:dyDescent="0.25">
      <c r="B3" s="4"/>
      <c r="C3" s="447" t="s">
        <v>0</v>
      </c>
      <c r="D3" s="448"/>
      <c r="E3" s="448"/>
      <c r="F3" s="448"/>
      <c r="G3" s="449"/>
      <c r="H3" s="5"/>
    </row>
    <row r="4" spans="2:8" ht="15.75" thickBot="1" x14ac:dyDescent="0.3">
      <c r="B4" s="4"/>
      <c r="C4" s="450" t="str">
        <f ca="1">"Año-"&amp;YEAR(TODAY())</f>
        <v>Año-2017</v>
      </c>
      <c r="D4" s="451"/>
      <c r="E4" s="451"/>
      <c r="F4" s="451"/>
      <c r="G4" s="452"/>
      <c r="H4" s="5"/>
    </row>
    <row r="5" spans="2:8" x14ac:dyDescent="0.25">
      <c r="B5" s="4"/>
      <c r="C5" s="6"/>
      <c r="D5" s="6"/>
      <c r="E5" s="6"/>
      <c r="F5" s="6"/>
      <c r="G5" s="6"/>
      <c r="H5" s="5"/>
    </row>
    <row r="6" spans="2:8" x14ac:dyDescent="0.25">
      <c r="B6" s="4"/>
      <c r="C6" s="6" t="s">
        <v>3</v>
      </c>
      <c r="D6" s="6"/>
      <c r="E6" s="6"/>
      <c r="F6" s="7">
        <v>60</v>
      </c>
      <c r="G6" s="7"/>
      <c r="H6" s="5"/>
    </row>
    <row r="7" spans="2:8" x14ac:dyDescent="0.25">
      <c r="B7" s="4"/>
      <c r="C7" s="6"/>
      <c r="D7" s="6"/>
      <c r="E7" s="6"/>
      <c r="F7" s="6"/>
      <c r="G7" s="6"/>
      <c r="H7" s="5"/>
    </row>
    <row r="8" spans="2:8" x14ac:dyDescent="0.25">
      <c r="B8" s="4"/>
      <c r="C8" s="13" t="s">
        <v>1</v>
      </c>
      <c r="D8" s="13" t="s">
        <v>4</v>
      </c>
      <c r="E8" s="13" t="s">
        <v>55</v>
      </c>
      <c r="F8" s="13" t="s">
        <v>2</v>
      </c>
      <c r="G8" s="65"/>
      <c r="H8" s="5"/>
    </row>
    <row r="9" spans="2:8" x14ac:dyDescent="0.25">
      <c r="B9" s="4">
        <v>1</v>
      </c>
      <c r="C9" s="14" t="s">
        <v>5</v>
      </c>
      <c r="D9" s="319">
        <v>90000</v>
      </c>
      <c r="E9" s="329">
        <f>IF(D9&lt;&gt;0,($F$6/12)*(D9/30),"0")</f>
        <v>15000</v>
      </c>
      <c r="F9" s="329">
        <f>IF(D9&lt;&gt;0,E9,"0")</f>
        <v>15000</v>
      </c>
      <c r="G9" s="8" t="str">
        <f ca="1">IF(AND(MONTH(Main!$C$5)=Utilidades!B9,Main!$C$11&gt;=1),"*","")</f>
        <v/>
      </c>
      <c r="H9" s="5"/>
    </row>
    <row r="10" spans="2:8" x14ac:dyDescent="0.25">
      <c r="B10" s="4">
        <v>2</v>
      </c>
      <c r="C10" s="14" t="s">
        <v>6</v>
      </c>
      <c r="D10" s="319">
        <v>90000</v>
      </c>
      <c r="E10" s="329">
        <f t="shared" ref="E10:E20" si="0">IF(D10&lt;&gt;0,($F$6/12)*(D10/30),"0")</f>
        <v>15000</v>
      </c>
      <c r="F10" s="329">
        <f>IF(D10&lt;&gt;0,E10+F9,"0")</f>
        <v>30000</v>
      </c>
      <c r="G10" s="8" t="str">
        <f ca="1">IF(AND(MONTH(Main!$C$5)=Utilidades!B10,Main!$C$11&gt;=1),"*","")</f>
        <v/>
      </c>
      <c r="H10" s="5"/>
    </row>
    <row r="11" spans="2:8" x14ac:dyDescent="0.25">
      <c r="B11" s="4">
        <v>3</v>
      </c>
      <c r="C11" s="14" t="s">
        <v>7</v>
      </c>
      <c r="D11" s="319">
        <v>90000</v>
      </c>
      <c r="E11" s="329">
        <f t="shared" si="0"/>
        <v>15000</v>
      </c>
      <c r="F11" s="329">
        <f t="shared" ref="F11:F20" si="1">IF(D11&lt;&gt;0,E11+F10,"0")</f>
        <v>45000</v>
      </c>
      <c r="G11" s="8" t="str">
        <f ca="1">IF(AND(MONTH(Main!$C$5)=Utilidades!B11,Main!$C$11&gt;=1),"*","")</f>
        <v>*</v>
      </c>
      <c r="H11" s="5"/>
    </row>
    <row r="12" spans="2:8" x14ac:dyDescent="0.25">
      <c r="B12" s="4">
        <v>4</v>
      </c>
      <c r="C12" s="14" t="s">
        <v>8</v>
      </c>
      <c r="D12" s="319">
        <v>90000</v>
      </c>
      <c r="E12" s="329">
        <f t="shared" si="0"/>
        <v>15000</v>
      </c>
      <c r="F12" s="329">
        <f t="shared" si="1"/>
        <v>60000</v>
      </c>
      <c r="G12" s="8" t="str">
        <f ca="1">IF(AND(MONTH(Main!$C$5)=Utilidades!B12,Main!$C$11&gt;=1),"*","")</f>
        <v/>
      </c>
      <c r="H12" s="5"/>
    </row>
    <row r="13" spans="2:8" x14ac:dyDescent="0.25">
      <c r="B13" s="4">
        <v>5</v>
      </c>
      <c r="C13" s="14" t="s">
        <v>9</v>
      </c>
      <c r="D13" s="319">
        <v>90000</v>
      </c>
      <c r="E13" s="329">
        <f t="shared" si="0"/>
        <v>15000</v>
      </c>
      <c r="F13" s="329">
        <f t="shared" si="1"/>
        <v>75000</v>
      </c>
      <c r="G13" s="8" t="str">
        <f ca="1">IF(AND(MONTH(Main!$C$5)=Utilidades!B13,Main!$C$11&gt;=1),"*","")</f>
        <v/>
      </c>
      <c r="H13" s="5"/>
    </row>
    <row r="14" spans="2:8" x14ac:dyDescent="0.25">
      <c r="B14" s="4">
        <v>6</v>
      </c>
      <c r="C14" s="14" t="s">
        <v>10</v>
      </c>
      <c r="D14" s="319">
        <v>90000</v>
      </c>
      <c r="E14" s="329">
        <f t="shared" si="0"/>
        <v>15000</v>
      </c>
      <c r="F14" s="329">
        <f t="shared" si="1"/>
        <v>90000</v>
      </c>
      <c r="G14" s="8" t="str">
        <f ca="1">IF(AND(MONTH(Main!$C$5)=Utilidades!B14,Main!$C$11&gt;=1),"*","")</f>
        <v/>
      </c>
      <c r="H14" s="5"/>
    </row>
    <row r="15" spans="2:8" x14ac:dyDescent="0.25">
      <c r="B15" s="4">
        <v>7</v>
      </c>
      <c r="C15" s="14" t="s">
        <v>11</v>
      </c>
      <c r="D15" s="319">
        <v>90000</v>
      </c>
      <c r="E15" s="329">
        <f t="shared" si="0"/>
        <v>15000</v>
      </c>
      <c r="F15" s="329">
        <f t="shared" si="1"/>
        <v>105000</v>
      </c>
      <c r="G15" s="8" t="str">
        <f ca="1">IF(AND(MONTH(Main!$C$5)=Utilidades!B15,Main!$C$11&gt;=1),"*","")</f>
        <v/>
      </c>
      <c r="H15" s="5"/>
    </row>
    <row r="16" spans="2:8" x14ac:dyDescent="0.25">
      <c r="B16" s="4">
        <v>8</v>
      </c>
      <c r="C16" s="14" t="s">
        <v>12</v>
      </c>
      <c r="D16" s="319">
        <v>90000</v>
      </c>
      <c r="E16" s="329">
        <f t="shared" si="0"/>
        <v>15000</v>
      </c>
      <c r="F16" s="329">
        <f t="shared" si="1"/>
        <v>120000</v>
      </c>
      <c r="G16" s="8" t="str">
        <f ca="1">IF(AND(MONTH(Main!$C$5)=Utilidades!B16,Main!$C$11&gt;=1),"*","")</f>
        <v/>
      </c>
      <c r="H16" s="5"/>
    </row>
    <row r="17" spans="2:8" x14ac:dyDescent="0.25">
      <c r="B17" s="4">
        <v>9</v>
      </c>
      <c r="C17" s="14" t="s">
        <v>13</v>
      </c>
      <c r="D17" s="319">
        <v>90000</v>
      </c>
      <c r="E17" s="329">
        <f t="shared" si="0"/>
        <v>15000</v>
      </c>
      <c r="F17" s="329">
        <f t="shared" si="1"/>
        <v>135000</v>
      </c>
      <c r="G17" s="8" t="str">
        <f ca="1">IF(AND(MONTH(Main!$C$5)=Utilidades!B17,Main!$C$11&gt;=1),"*","")</f>
        <v/>
      </c>
      <c r="H17" s="5"/>
    </row>
    <row r="18" spans="2:8" x14ac:dyDescent="0.25">
      <c r="B18" s="4">
        <v>10</v>
      </c>
      <c r="C18" s="14" t="s">
        <v>14</v>
      </c>
      <c r="D18" s="319">
        <v>90000</v>
      </c>
      <c r="E18" s="329">
        <f t="shared" si="0"/>
        <v>15000</v>
      </c>
      <c r="F18" s="329">
        <f t="shared" si="1"/>
        <v>150000</v>
      </c>
      <c r="G18" s="8" t="str">
        <f ca="1">IF(AND(MONTH(Main!$C$5)=Utilidades!B18,Main!$C$11&gt;=1),"*","")</f>
        <v/>
      </c>
      <c r="H18" s="5"/>
    </row>
    <row r="19" spans="2:8" x14ac:dyDescent="0.25">
      <c r="B19" s="4">
        <v>11</v>
      </c>
      <c r="C19" s="14" t="s">
        <v>15</v>
      </c>
      <c r="D19" s="319">
        <v>90000</v>
      </c>
      <c r="E19" s="329">
        <f t="shared" si="0"/>
        <v>15000</v>
      </c>
      <c r="F19" s="329">
        <f t="shared" si="1"/>
        <v>165000</v>
      </c>
      <c r="G19" s="8" t="str">
        <f ca="1">IF(AND(MONTH(Main!$C$5)=Utilidades!B19,Main!$C$11&gt;=1),"*","")</f>
        <v/>
      </c>
      <c r="H19" s="5"/>
    </row>
    <row r="20" spans="2:8" x14ac:dyDescent="0.25">
      <c r="B20" s="4">
        <v>12</v>
      </c>
      <c r="C20" s="14" t="s">
        <v>16</v>
      </c>
      <c r="D20" s="319">
        <v>90000</v>
      </c>
      <c r="E20" s="329">
        <f t="shared" si="0"/>
        <v>15000</v>
      </c>
      <c r="F20" s="329">
        <f t="shared" si="1"/>
        <v>180000</v>
      </c>
      <c r="G20" s="8" t="str">
        <f ca="1">IF(AND(MONTH(Main!$C$5)=Utilidades!B20,Main!$C$11&gt;=1),"*","")</f>
        <v/>
      </c>
      <c r="H20" s="5"/>
    </row>
    <row r="21" spans="2:8" x14ac:dyDescent="0.25">
      <c r="B21" s="4"/>
      <c r="C21" s="6"/>
      <c r="D21" s="68"/>
      <c r="E21" s="68"/>
      <c r="F21" s="8"/>
      <c r="G21" s="8"/>
      <c r="H21" s="5"/>
    </row>
    <row r="22" spans="2:8" x14ac:dyDescent="0.25">
      <c r="B22" s="4"/>
      <c r="C22" s="69" t="s">
        <v>54</v>
      </c>
      <c r="D22" s="70"/>
      <c r="E22" s="70"/>
      <c r="F22" s="330">
        <f>MAX(F9:F20)</f>
        <v>180000</v>
      </c>
      <c r="G22" s="8"/>
      <c r="H22" s="5"/>
    </row>
    <row r="23" spans="2:8" x14ac:dyDescent="0.25">
      <c r="B23" s="4"/>
      <c r="C23" s="6"/>
      <c r="D23" s="6"/>
      <c r="E23" s="6"/>
      <c r="F23" s="6"/>
      <c r="G23" s="6"/>
      <c r="H23" s="5"/>
    </row>
    <row r="24" spans="2:8" ht="48" customHeight="1" x14ac:dyDescent="0.25">
      <c r="B24" s="4"/>
      <c r="C24" s="453" t="s">
        <v>51</v>
      </c>
      <c r="D24" s="453"/>
      <c r="E24" s="453"/>
      <c r="F24" s="453"/>
      <c r="G24" s="6"/>
      <c r="H24" s="5"/>
    </row>
    <row r="25" spans="2:8" x14ac:dyDescent="0.25">
      <c r="B25" s="4"/>
      <c r="C25" s="66" t="s">
        <v>52</v>
      </c>
      <c r="D25" s="6"/>
      <c r="E25" s="6"/>
      <c r="F25" s="6"/>
      <c r="G25" s="6"/>
      <c r="H25" s="5"/>
    </row>
    <row r="26" spans="2:8" x14ac:dyDescent="0.25">
      <c r="B26" s="4"/>
      <c r="C26" s="69" t="s">
        <v>53</v>
      </c>
      <c r="D26" s="72">
        <v>5.0000000000000001E-3</v>
      </c>
      <c r="E26" s="72"/>
      <c r="F26" s="330">
        <f>MAX(F9:F20)*D26</f>
        <v>900</v>
      </c>
      <c r="G26" s="6"/>
      <c r="H26" s="5"/>
    </row>
    <row r="27" spans="2:8" x14ac:dyDescent="0.25">
      <c r="B27" s="4"/>
      <c r="C27" s="66"/>
      <c r="D27" s="6"/>
      <c r="E27" s="6"/>
      <c r="F27" s="6"/>
      <c r="G27" s="6"/>
      <c r="H27" s="5"/>
    </row>
    <row r="28" spans="2:8" ht="15.75" thickBot="1" x14ac:dyDescent="0.3">
      <c r="B28" s="4"/>
      <c r="C28" s="15" t="s">
        <v>17</v>
      </c>
      <c r="D28" s="15"/>
      <c r="E28" s="15"/>
      <c r="F28" s="331">
        <f>F22-F26</f>
        <v>179100</v>
      </c>
      <c r="G28" s="12"/>
      <c r="H28" s="5"/>
    </row>
    <row r="29" spans="2:8" ht="16.5" thickTop="1" thickBot="1" x14ac:dyDescent="0.3">
      <c r="B29" s="9"/>
      <c r="C29" s="10"/>
      <c r="D29" s="10"/>
      <c r="E29" s="10"/>
      <c r="F29" s="10"/>
      <c r="G29" s="10"/>
      <c r="H29" s="11"/>
    </row>
    <row r="31" spans="2:8" x14ac:dyDescent="0.25">
      <c r="F31" s="446" t="s">
        <v>47</v>
      </c>
      <c r="G31" s="446"/>
      <c r="H31" s="446"/>
    </row>
  </sheetData>
  <protectedRanges>
    <protectedRange sqref="F6" name="Rango3"/>
    <protectedRange sqref="D9:D20" name="Rango1"/>
    <protectedRange sqref="D26" name="Rango2"/>
  </protectedRanges>
  <mergeCells count="4">
    <mergeCell ref="F31:H31"/>
    <mergeCell ref="C3:G3"/>
    <mergeCell ref="C4:G4"/>
    <mergeCell ref="C24:F24"/>
  </mergeCells>
  <dataValidations count="1">
    <dataValidation type="whole" allowBlank="1" showInputMessage="1" showErrorMessage="1" errorTitle="Error " error="La cantidad de dias debe estar entre 30 y 120." sqref="F6:G6">
      <formula1>30</formula1>
      <formula2>120</formula2>
    </dataValidation>
  </dataValidations>
  <hyperlinks>
    <hyperlink ref="F31" location="Main!A1" display="Volver"/>
  </hyperlinks>
  <pageMargins left="0.7" right="0.7" top="0.75" bottom="0.75" header="0.3" footer="0.3"/>
  <pageSetup orientation="portrait" verticalDpi="0"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B1:P140"/>
  <sheetViews>
    <sheetView showGridLines="0" topLeftCell="A31" zoomScale="85" zoomScaleNormal="85" workbookViewId="0">
      <selection activeCell="F52" sqref="F52:G52"/>
    </sheetView>
  </sheetViews>
  <sheetFormatPr baseColWidth="10" defaultColWidth="9.140625" defaultRowHeight="15" x14ac:dyDescent="0.25"/>
  <cols>
    <col min="1" max="1" width="11.42578125" customWidth="1"/>
    <col min="2" max="2" width="2.85546875" style="64" customWidth="1"/>
    <col min="3" max="3" width="3.28515625" style="64" customWidth="1"/>
    <col min="4" max="4" width="35.7109375" customWidth="1"/>
    <col min="5" max="5" width="16.42578125" customWidth="1"/>
    <col min="6" max="6" width="15.140625" customWidth="1"/>
    <col min="7" max="7" width="2.85546875" customWidth="1"/>
    <col min="8" max="8" width="4.42578125" customWidth="1"/>
    <col min="9" max="9" width="13.28515625" customWidth="1"/>
  </cols>
  <sheetData>
    <row r="1" spans="2:10" s="64" customFormat="1" ht="15.75" thickBot="1" x14ac:dyDescent="0.3"/>
    <row r="2" spans="2:10" x14ac:dyDescent="0.25">
      <c r="B2" s="1"/>
      <c r="C2" s="2"/>
      <c r="D2" s="2"/>
      <c r="E2" s="2"/>
      <c r="F2" s="2"/>
      <c r="G2" s="3"/>
    </row>
    <row r="3" spans="2:10" x14ac:dyDescent="0.25">
      <c r="B3" s="4"/>
      <c r="C3" s="459" t="s">
        <v>56</v>
      </c>
      <c r="D3" s="459"/>
      <c r="E3" s="459"/>
      <c r="F3" s="459"/>
      <c r="G3" s="5"/>
    </row>
    <row r="4" spans="2:10" x14ac:dyDescent="0.25">
      <c r="B4" s="4"/>
      <c r="C4" s="6"/>
      <c r="D4" s="79">
        <f ca="1">IF(MONTH(Main!C6)&gt;=MONTH(Main!C5),YEAR(TODAY()),YEAR(TODAY())-1)</f>
        <v>2016</v>
      </c>
      <c r="E4" s="80" t="s">
        <v>57</v>
      </c>
      <c r="F4" s="247">
        <f ca="1">D4+1</f>
        <v>2017</v>
      </c>
      <c r="G4" s="5"/>
    </row>
    <row r="5" spans="2:10" x14ac:dyDescent="0.25">
      <c r="B5" s="4"/>
      <c r="C5" s="6"/>
      <c r="D5" s="6"/>
      <c r="E5" s="6"/>
      <c r="F5" s="6"/>
      <c r="G5" s="5"/>
    </row>
    <row r="6" spans="2:10" s="64" customFormat="1" x14ac:dyDescent="0.25">
      <c r="B6" s="4"/>
      <c r="C6" s="458" t="s">
        <v>61</v>
      </c>
      <c r="D6" s="458"/>
      <c r="E6" s="458"/>
      <c r="F6" s="458"/>
      <c r="G6" s="5"/>
    </row>
    <row r="7" spans="2:10" s="64" customFormat="1" x14ac:dyDescent="0.25">
      <c r="B7" s="4"/>
      <c r="C7" s="6"/>
      <c r="D7" s="81"/>
      <c r="E7" s="81"/>
      <c r="F7" s="81"/>
      <c r="G7" s="5"/>
    </row>
    <row r="8" spans="2:10" x14ac:dyDescent="0.25">
      <c r="B8" s="4"/>
      <c r="C8" s="6"/>
      <c r="D8" s="82" t="s">
        <v>62</v>
      </c>
      <c r="E8" s="83">
        <v>15</v>
      </c>
      <c r="F8" s="6" t="s">
        <v>251</v>
      </c>
      <c r="G8" s="5"/>
    </row>
    <row r="9" spans="2:10" x14ac:dyDescent="0.25">
      <c r="B9" s="4"/>
      <c r="C9" s="6"/>
      <c r="D9" s="82" t="s">
        <v>58</v>
      </c>
      <c r="E9" s="82">
        <f ca="1">IF(Main!$C$11&lt;=15,IF(Main!$C$11&gt;1,Main!$C$11,0),15)</f>
        <v>5</v>
      </c>
      <c r="F9" s="6" t="s">
        <v>251</v>
      </c>
      <c r="G9" s="5"/>
      <c r="I9" s="454" t="s">
        <v>258</v>
      </c>
      <c r="J9" s="455"/>
    </row>
    <row r="10" spans="2:10" s="64" customFormat="1" x14ac:dyDescent="0.25">
      <c r="B10" s="4"/>
      <c r="C10" s="6"/>
      <c r="D10" s="82"/>
      <c r="E10" s="82"/>
      <c r="F10" s="6"/>
      <c r="G10" s="5"/>
      <c r="I10" s="456"/>
      <c r="J10" s="457"/>
    </row>
    <row r="11" spans="2:10" ht="15.75" thickBot="1" x14ac:dyDescent="0.3">
      <c r="B11" s="4"/>
      <c r="C11" s="74"/>
      <c r="D11" s="75" t="s">
        <v>60</v>
      </c>
      <c r="E11" s="76">
        <f ca="1">E9+E8</f>
        <v>20</v>
      </c>
      <c r="F11" s="77" t="s">
        <v>59</v>
      </c>
      <c r="G11" s="5"/>
      <c r="I11" s="298"/>
    </row>
    <row r="12" spans="2:10" ht="15.75" thickTop="1" x14ac:dyDescent="0.25">
      <c r="B12" s="4"/>
      <c r="C12" s="6"/>
      <c r="D12" s="6"/>
      <c r="E12" s="6"/>
      <c r="F12" s="6"/>
      <c r="G12" s="5"/>
    </row>
    <row r="13" spans="2:10" x14ac:dyDescent="0.25">
      <c r="B13" s="4"/>
      <c r="C13" s="458" t="s">
        <v>63</v>
      </c>
      <c r="D13" s="458"/>
      <c r="E13" s="458"/>
      <c r="F13" s="458"/>
      <c r="G13" s="5"/>
    </row>
    <row r="14" spans="2:10" x14ac:dyDescent="0.25">
      <c r="B14" s="4"/>
      <c r="C14" s="6"/>
      <c r="D14" s="6"/>
      <c r="E14" s="6"/>
      <c r="F14" s="6"/>
      <c r="G14" s="5"/>
    </row>
    <row r="15" spans="2:10" x14ac:dyDescent="0.25">
      <c r="B15" s="4"/>
      <c r="C15" s="6"/>
      <c r="D15" s="82" t="s">
        <v>64</v>
      </c>
      <c r="E15" s="6">
        <v>15</v>
      </c>
      <c r="F15" s="6" t="s">
        <v>65</v>
      </c>
      <c r="G15" s="5"/>
    </row>
    <row r="16" spans="2:10" x14ac:dyDescent="0.25">
      <c r="B16" s="4"/>
      <c r="C16" s="6"/>
      <c r="D16" s="82" t="s">
        <v>66</v>
      </c>
      <c r="E16" s="82">
        <f ca="1">IF(Main!$C$11&lt;=15,IF(Main!$C$11&gt;=1,Main!$C$11,0),15)</f>
        <v>5</v>
      </c>
      <c r="F16" s="6" t="s">
        <v>65</v>
      </c>
      <c r="G16" s="5"/>
    </row>
    <row r="17" spans="2:16" s="64" customFormat="1" x14ac:dyDescent="0.25">
      <c r="B17" s="4"/>
      <c r="C17" s="6"/>
      <c r="D17" s="82"/>
      <c r="E17" s="82"/>
      <c r="F17" s="6"/>
      <c r="G17" s="5"/>
    </row>
    <row r="18" spans="2:16" s="64" customFormat="1" ht="15.75" thickBot="1" x14ac:dyDescent="0.3">
      <c r="B18" s="4"/>
      <c r="C18" s="74"/>
      <c r="D18" s="75" t="s">
        <v>68</v>
      </c>
      <c r="E18" s="76">
        <f ca="1">E16+E15</f>
        <v>20</v>
      </c>
      <c r="F18" s="77" t="s">
        <v>65</v>
      </c>
      <c r="G18" s="5"/>
    </row>
    <row r="19" spans="2:16" ht="15.75" thickTop="1" x14ac:dyDescent="0.25">
      <c r="B19" s="4"/>
      <c r="C19" s="6"/>
      <c r="D19" s="6"/>
      <c r="E19" s="6"/>
      <c r="F19" s="6"/>
      <c r="G19" s="5"/>
    </row>
    <row r="20" spans="2:16" s="87" customFormat="1" x14ac:dyDescent="0.25">
      <c r="B20" s="4"/>
      <c r="C20" s="458" t="s">
        <v>249</v>
      </c>
      <c r="D20" s="458"/>
      <c r="E20" s="458"/>
      <c r="F20" s="458"/>
      <c r="G20" s="5"/>
      <c r="I20" s="6"/>
      <c r="J20" s="6"/>
      <c r="K20" s="6"/>
      <c r="L20" s="6"/>
      <c r="M20" s="6"/>
      <c r="N20" s="6"/>
      <c r="O20" s="6"/>
      <c r="P20" s="6"/>
    </row>
    <row r="21" spans="2:16" s="87" customFormat="1" x14ac:dyDescent="0.25">
      <c r="B21" s="4"/>
      <c r="C21" s="310"/>
      <c r="D21" s="310"/>
      <c r="E21" s="310"/>
      <c r="F21" s="310"/>
      <c r="G21" s="5"/>
      <c r="I21" s="6"/>
      <c r="J21" s="6"/>
      <c r="K21" s="6"/>
      <c r="L21" s="6"/>
      <c r="M21" s="6"/>
      <c r="N21" s="6"/>
      <c r="O21" s="6"/>
      <c r="P21" s="6"/>
    </row>
    <row r="22" spans="2:16" ht="15" customHeight="1" x14ac:dyDescent="0.25">
      <c r="B22" s="4"/>
      <c r="C22" s="461" t="s">
        <v>1</v>
      </c>
      <c r="D22" s="461"/>
      <c r="F22" s="13" t="s">
        <v>67</v>
      </c>
      <c r="G22" s="5"/>
      <c r="I22" s="311"/>
      <c r="J22" s="311"/>
      <c r="K22" s="311"/>
      <c r="L22" s="311"/>
      <c r="M22" s="311"/>
      <c r="N22" s="311"/>
      <c r="O22" s="311"/>
      <c r="P22" s="311"/>
    </row>
    <row r="23" spans="2:16" x14ac:dyDescent="0.25">
      <c r="B23" s="4"/>
      <c r="C23" s="315">
        <v>1</v>
      </c>
      <c r="D23" s="14" t="str">
        <f ca="1">VLOOKUP(MONTH(Main!C6)-2,Vacaciones!$C$115:$D$140,2,0)</f>
        <v>Noviembre</v>
      </c>
      <c r="E23" s="67"/>
      <c r="F23" s="332">
        <v>6200</v>
      </c>
      <c r="G23" s="5"/>
      <c r="I23" s="311"/>
      <c r="J23" s="311"/>
      <c r="K23" s="311"/>
      <c r="L23" s="311"/>
      <c r="M23" s="311"/>
      <c r="N23" s="311"/>
      <c r="O23" s="311"/>
      <c r="P23" s="311"/>
    </row>
    <row r="24" spans="2:16" x14ac:dyDescent="0.25">
      <c r="B24" s="4"/>
      <c r="C24" s="315">
        <v>2</v>
      </c>
      <c r="D24" s="14" t="str">
        <f ca="1">VLOOKUP(MONTH(Main!C6)-1,Vacaciones!$C$115:$D$140,2,0)</f>
        <v>Diciembre</v>
      </c>
      <c r="E24" s="112"/>
      <c r="F24" s="332">
        <v>6200</v>
      </c>
      <c r="G24" s="5"/>
      <c r="I24" s="311"/>
      <c r="J24" s="311"/>
      <c r="K24" s="311"/>
      <c r="L24" s="311"/>
      <c r="M24" s="311"/>
      <c r="N24" s="311"/>
      <c r="O24" s="311"/>
      <c r="P24" s="311"/>
    </row>
    <row r="25" spans="2:16" x14ac:dyDescent="0.25">
      <c r="B25" s="4"/>
      <c r="C25" s="315">
        <v>3</v>
      </c>
      <c r="D25" s="14" t="str">
        <f ca="1">VLOOKUP(MONTH(Main!C6),Vacaciones!$C$117:$D$140,2,0)</f>
        <v>Enero</v>
      </c>
      <c r="E25" s="112"/>
      <c r="F25" s="332">
        <v>6200</v>
      </c>
      <c r="G25" s="5"/>
      <c r="I25" s="311"/>
      <c r="J25" s="311"/>
      <c r="K25" s="311"/>
      <c r="L25" s="311"/>
      <c r="M25" s="311"/>
      <c r="N25" s="311"/>
      <c r="O25" s="311"/>
      <c r="P25" s="311"/>
    </row>
    <row r="26" spans="2:16" s="87" customFormat="1" x14ac:dyDescent="0.25">
      <c r="B26" s="4"/>
      <c r="C26" s="6"/>
      <c r="D26" s="306"/>
      <c r="E26" s="86" t="s">
        <v>246</v>
      </c>
      <c r="F26" s="333">
        <f>AVERAGE(F23:F25)</f>
        <v>6200</v>
      </c>
      <c r="G26" s="5"/>
      <c r="I26" s="311"/>
      <c r="J26" s="311"/>
      <c r="K26" s="311"/>
      <c r="L26" s="311"/>
      <c r="M26" s="311"/>
      <c r="N26" s="311"/>
      <c r="O26" s="311"/>
      <c r="P26" s="311"/>
    </row>
    <row r="27" spans="2:16" x14ac:dyDescent="0.25">
      <c r="B27" s="4"/>
      <c r="C27" s="6"/>
      <c r="D27" s="6"/>
      <c r="G27" s="5"/>
      <c r="I27" s="311"/>
      <c r="J27" s="311"/>
      <c r="K27" s="311"/>
      <c r="L27" s="311"/>
      <c r="M27" s="311"/>
      <c r="N27" s="311"/>
      <c r="O27" s="311"/>
      <c r="P27" s="311"/>
    </row>
    <row r="28" spans="2:16" s="87" customFormat="1" x14ac:dyDescent="0.25">
      <c r="B28" s="4"/>
      <c r="C28" s="458" t="s">
        <v>250</v>
      </c>
      <c r="D28" s="458"/>
      <c r="E28" s="458"/>
      <c r="F28" s="458"/>
      <c r="G28" s="5"/>
      <c r="I28" s="311"/>
      <c r="J28" s="311"/>
      <c r="K28" s="311"/>
      <c r="L28" s="311"/>
      <c r="M28" s="311"/>
      <c r="N28" s="311"/>
      <c r="O28" s="311"/>
      <c r="P28" s="311"/>
    </row>
    <row r="29" spans="2:16" s="87" customFormat="1" x14ac:dyDescent="0.25">
      <c r="B29" s="4"/>
      <c r="C29" s="6"/>
      <c r="D29" s="6"/>
      <c r="G29" s="5"/>
      <c r="I29" s="311"/>
      <c r="J29" s="311"/>
      <c r="K29" s="311"/>
      <c r="L29" s="311"/>
      <c r="M29" s="311"/>
      <c r="N29" s="311"/>
      <c r="O29" s="311"/>
      <c r="P29" s="311"/>
    </row>
    <row r="30" spans="2:16" s="87" customFormat="1" x14ac:dyDescent="0.25">
      <c r="B30" s="4"/>
      <c r="C30" s="316">
        <v>1</v>
      </c>
      <c r="D30" s="156" t="s">
        <v>247</v>
      </c>
      <c r="E30" s="156"/>
      <c r="F30" s="334">
        <f ca="1">E11*F26/30</f>
        <v>4133.333333333333</v>
      </c>
      <c r="G30" s="5"/>
      <c r="I30" s="311"/>
      <c r="J30" s="311"/>
      <c r="K30" s="311"/>
      <c r="L30" s="311"/>
      <c r="M30" s="311"/>
      <c r="N30" s="311"/>
      <c r="O30" s="311"/>
      <c r="P30" s="311"/>
    </row>
    <row r="31" spans="2:16" s="87" customFormat="1" x14ac:dyDescent="0.25">
      <c r="B31" s="4"/>
      <c r="C31" s="108">
        <v>2</v>
      </c>
      <c r="D31" s="14" t="s">
        <v>248</v>
      </c>
      <c r="E31" s="14"/>
      <c r="F31" s="335">
        <f ca="1">E18*F26/30</f>
        <v>4133.333333333333</v>
      </c>
      <c r="G31" s="5"/>
      <c r="I31" s="6"/>
      <c r="J31" s="6"/>
      <c r="K31" s="6"/>
      <c r="L31" s="6"/>
      <c r="M31" s="6"/>
      <c r="N31" s="6"/>
      <c r="O31" s="6"/>
      <c r="P31" s="6"/>
    </row>
    <row r="32" spans="2:16" s="87" customFormat="1" x14ac:dyDescent="0.25">
      <c r="B32" s="4"/>
      <c r="C32" s="108">
        <v>3</v>
      </c>
      <c r="D32" s="14" t="s">
        <v>259</v>
      </c>
      <c r="E32" s="318">
        <v>1</v>
      </c>
      <c r="F32" s="335">
        <f>+E32*($F$26/30)</f>
        <v>206.66666666666666</v>
      </c>
      <c r="G32" s="5"/>
      <c r="I32" s="6"/>
      <c r="J32" s="6"/>
      <c r="K32" s="6"/>
      <c r="L32" s="6"/>
      <c r="M32" s="6"/>
      <c r="N32" s="6"/>
      <c r="O32" s="6"/>
      <c r="P32" s="6"/>
    </row>
    <row r="33" spans="2:16" s="87" customFormat="1" x14ac:dyDescent="0.25">
      <c r="B33" s="4"/>
      <c r="C33" s="108">
        <v>4</v>
      </c>
      <c r="D33" s="14" t="s">
        <v>260</v>
      </c>
      <c r="E33" s="318">
        <v>6</v>
      </c>
      <c r="F33" s="335">
        <f>+E33*($F$26/30)</f>
        <v>1240</v>
      </c>
      <c r="G33" s="5"/>
      <c r="I33" s="6"/>
      <c r="J33" s="6"/>
      <c r="K33" s="6"/>
      <c r="L33" s="6"/>
      <c r="M33" s="6"/>
      <c r="N33" s="6"/>
      <c r="O33" s="6"/>
      <c r="P33" s="6"/>
    </row>
    <row r="34" spans="2:16" s="87" customFormat="1" ht="15.75" thickBot="1" x14ac:dyDescent="0.3">
      <c r="B34" s="4"/>
      <c r="C34" s="154"/>
      <c r="E34" s="314" t="s">
        <v>256</v>
      </c>
      <c r="F34" s="336">
        <f ca="1">F31+F30+F32+F33</f>
        <v>9713.3333333333321</v>
      </c>
      <c r="G34" s="309"/>
      <c r="I34" s="6"/>
      <c r="J34" s="6"/>
      <c r="K34" s="6"/>
      <c r="L34" s="6"/>
      <c r="M34" s="6"/>
      <c r="N34" s="6"/>
      <c r="O34" s="6"/>
      <c r="P34" s="6"/>
    </row>
    <row r="35" spans="2:16" s="64" customFormat="1" x14ac:dyDescent="0.25">
      <c r="B35" s="4"/>
      <c r="C35" s="6"/>
      <c r="D35" s="6"/>
      <c r="E35" s="6"/>
      <c r="F35" s="6"/>
      <c r="G35" s="5"/>
    </row>
    <row r="36" spans="2:16" s="64" customFormat="1" x14ac:dyDescent="0.25">
      <c r="B36" s="4"/>
      <c r="C36" s="460" t="s">
        <v>69</v>
      </c>
      <c r="D36" s="460"/>
      <c r="E36" s="460"/>
      <c r="F36" s="460"/>
      <c r="G36" s="5"/>
    </row>
    <row r="37" spans="2:16" s="64" customFormat="1" x14ac:dyDescent="0.25">
      <c r="B37" s="4"/>
      <c r="C37" s="108">
        <v>1</v>
      </c>
      <c r="D37" s="14" t="s">
        <v>72</v>
      </c>
      <c r="E37" s="14"/>
      <c r="F37" s="335">
        <f ca="1">((SUM($F$34)*12)/52)*(0.04*4)</f>
        <v>358.64615384615382</v>
      </c>
      <c r="G37" s="5"/>
    </row>
    <row r="38" spans="2:16" s="64" customFormat="1" x14ac:dyDescent="0.25">
      <c r="B38" s="4"/>
      <c r="C38" s="108">
        <v>2</v>
      </c>
      <c r="D38" s="14" t="s">
        <v>70</v>
      </c>
      <c r="E38" s="14"/>
      <c r="F38" s="335">
        <f ca="1">((SUM($F$34)*12)/52)*(0.005*4)</f>
        <v>44.830769230769228</v>
      </c>
      <c r="G38" s="5"/>
    </row>
    <row r="39" spans="2:16" s="64" customFormat="1" x14ac:dyDescent="0.25">
      <c r="B39" s="4"/>
      <c r="C39" s="108">
        <v>3</v>
      </c>
      <c r="D39" s="14" t="s">
        <v>71</v>
      </c>
      <c r="E39" s="14"/>
      <c r="F39" s="335">
        <f ca="1">0.01*SUM(F34)</f>
        <v>97.133333333333326</v>
      </c>
      <c r="G39" s="5"/>
    </row>
    <row r="40" spans="2:16" s="64" customFormat="1" ht="15.75" thickBot="1" x14ac:dyDescent="0.3">
      <c r="B40" s="4"/>
      <c r="C40" s="6"/>
      <c r="D40" s="66"/>
      <c r="E40" s="313" t="s">
        <v>73</v>
      </c>
      <c r="F40" s="336">
        <f ca="1">SUM(F37:F39)</f>
        <v>500.6102564102564</v>
      </c>
      <c r="G40" s="5"/>
    </row>
    <row r="41" spans="2:16" s="87" customFormat="1" x14ac:dyDescent="0.25">
      <c r="B41" s="4"/>
      <c r="C41" s="6"/>
      <c r="D41" s="66"/>
      <c r="E41" s="86"/>
      <c r="F41" s="12"/>
      <c r="G41" s="5"/>
    </row>
    <row r="42" spans="2:16" s="87" customFormat="1" ht="15.75" thickBot="1" x14ac:dyDescent="0.3">
      <c r="B42" s="4"/>
      <c r="C42" s="6"/>
      <c r="D42" s="66"/>
      <c r="E42" s="78" t="s">
        <v>257</v>
      </c>
      <c r="F42" s="337">
        <f ca="1">F34-F40</f>
        <v>9212.7230769230755</v>
      </c>
      <c r="G42" s="5"/>
    </row>
    <row r="43" spans="2:16" s="64" customFormat="1" ht="15.75" thickTop="1" x14ac:dyDescent="0.25">
      <c r="B43" s="4"/>
      <c r="C43" s="6"/>
      <c r="D43" s="66"/>
      <c r="E43" s="6"/>
      <c r="F43" s="8"/>
      <c r="G43" s="5"/>
    </row>
    <row r="44" spans="2:16" s="87" customFormat="1" x14ac:dyDescent="0.25">
      <c r="B44" s="4"/>
      <c r="C44" s="458" t="s">
        <v>252</v>
      </c>
      <c r="D44" s="458"/>
      <c r="E44" s="458"/>
      <c r="F44" s="458"/>
      <c r="G44" s="5"/>
    </row>
    <row r="45" spans="2:16" s="87" customFormat="1" x14ac:dyDescent="0.25">
      <c r="B45" s="4"/>
      <c r="C45" s="310"/>
      <c r="D45" s="310"/>
      <c r="E45" s="310"/>
      <c r="F45" s="310"/>
      <c r="G45" s="5"/>
    </row>
    <row r="46" spans="2:16" s="87" customFormat="1" x14ac:dyDescent="0.25">
      <c r="B46" s="4"/>
      <c r="C46" s="310"/>
      <c r="E46" s="286" t="s">
        <v>253</v>
      </c>
      <c r="F46" s="310">
        <f ca="1" xml:space="preserve"> IF(MONTH(Main!C6) - MONTH(Main!C5)&lt;0,MONTH(Main!C6) - MONTH(Main!C5)+12,MONTH(Main!C6) - MONTH(Main!C5))</f>
        <v>10</v>
      </c>
      <c r="G46" s="5"/>
    </row>
    <row r="47" spans="2:16" s="87" customFormat="1" x14ac:dyDescent="0.25">
      <c r="B47" s="4"/>
      <c r="C47" s="310"/>
      <c r="E47" s="286" t="s">
        <v>254</v>
      </c>
      <c r="F47" s="312">
        <f ca="1">F46/12</f>
        <v>0.83333333333333337</v>
      </c>
      <c r="G47" s="5"/>
    </row>
    <row r="48" spans="2:16" s="87" customFormat="1" x14ac:dyDescent="0.25">
      <c r="B48" s="4"/>
      <c r="C48" s="6"/>
      <c r="D48" s="66"/>
      <c r="E48" s="6"/>
      <c r="F48" s="8"/>
      <c r="G48" s="5"/>
    </row>
    <row r="49" spans="2:7" ht="15.75" thickBot="1" x14ac:dyDescent="0.3">
      <c r="B49" s="4"/>
      <c r="C49" s="74"/>
      <c r="D49" s="15"/>
      <c r="E49" s="78" t="s">
        <v>255</v>
      </c>
      <c r="F49" s="337">
        <f ca="1">(F34-F40)*F47</f>
        <v>7677.2692307692296</v>
      </c>
      <c r="G49" s="5"/>
    </row>
    <row r="50" spans="2:7" ht="16.5" thickTop="1" thickBot="1" x14ac:dyDescent="0.3">
      <c r="B50" s="9"/>
      <c r="C50" s="10"/>
      <c r="D50" s="10"/>
      <c r="E50" s="10"/>
      <c r="F50" s="10"/>
      <c r="G50" s="11"/>
    </row>
    <row r="52" spans="2:7" x14ac:dyDescent="0.25">
      <c r="F52" s="446" t="s">
        <v>47</v>
      </c>
      <c r="G52" s="446"/>
    </row>
    <row r="115" spans="3:4" x14ac:dyDescent="0.25">
      <c r="C115" s="64">
        <v>-1</v>
      </c>
      <c r="D115" t="s">
        <v>15</v>
      </c>
    </row>
    <row r="116" spans="3:4" x14ac:dyDescent="0.25">
      <c r="C116" s="64">
        <v>0</v>
      </c>
      <c r="D116" t="s">
        <v>16</v>
      </c>
    </row>
    <row r="117" spans="3:4" x14ac:dyDescent="0.25">
      <c r="C117" s="139">
        <v>1</v>
      </c>
      <c r="D117" s="139" t="s">
        <v>5</v>
      </c>
    </row>
    <row r="118" spans="3:4" x14ac:dyDescent="0.25">
      <c r="C118" s="139">
        <v>2</v>
      </c>
      <c r="D118" s="139" t="s">
        <v>6</v>
      </c>
    </row>
    <row r="119" spans="3:4" x14ac:dyDescent="0.25">
      <c r="C119" s="139">
        <v>3</v>
      </c>
      <c r="D119" s="139" t="s">
        <v>7</v>
      </c>
    </row>
    <row r="120" spans="3:4" x14ac:dyDescent="0.25">
      <c r="C120" s="139">
        <v>4</v>
      </c>
      <c r="D120" s="139" t="s">
        <v>8</v>
      </c>
    </row>
    <row r="121" spans="3:4" x14ac:dyDescent="0.25">
      <c r="C121" s="139">
        <v>5</v>
      </c>
      <c r="D121" s="139" t="s">
        <v>9</v>
      </c>
    </row>
    <row r="122" spans="3:4" x14ac:dyDescent="0.25">
      <c r="C122" s="139">
        <v>6</v>
      </c>
      <c r="D122" s="139" t="s">
        <v>10</v>
      </c>
    </row>
    <row r="123" spans="3:4" x14ac:dyDescent="0.25">
      <c r="C123" s="139">
        <v>7</v>
      </c>
      <c r="D123" s="139" t="s">
        <v>11</v>
      </c>
    </row>
    <row r="124" spans="3:4" x14ac:dyDescent="0.25">
      <c r="C124" s="139">
        <v>8</v>
      </c>
      <c r="D124" s="139" t="s">
        <v>12</v>
      </c>
    </row>
    <row r="125" spans="3:4" x14ac:dyDescent="0.25">
      <c r="C125" s="139">
        <v>9</v>
      </c>
      <c r="D125" s="139" t="s">
        <v>13</v>
      </c>
    </row>
    <row r="126" spans="3:4" x14ac:dyDescent="0.25">
      <c r="C126" s="139">
        <v>10</v>
      </c>
      <c r="D126" s="139" t="s">
        <v>14</v>
      </c>
    </row>
    <row r="127" spans="3:4" x14ac:dyDescent="0.25">
      <c r="C127" s="139">
        <v>11</v>
      </c>
      <c r="D127" s="139" t="s">
        <v>15</v>
      </c>
    </row>
    <row r="128" spans="3:4" x14ac:dyDescent="0.25">
      <c r="C128" s="139">
        <v>12</v>
      </c>
      <c r="D128" s="139" t="s">
        <v>16</v>
      </c>
    </row>
    <row r="129" spans="3:4" x14ac:dyDescent="0.25">
      <c r="C129" s="139">
        <v>13</v>
      </c>
      <c r="D129" s="139" t="s">
        <v>5</v>
      </c>
    </row>
    <row r="130" spans="3:4" x14ac:dyDescent="0.25">
      <c r="C130" s="139">
        <v>14</v>
      </c>
      <c r="D130" s="139" t="s">
        <v>6</v>
      </c>
    </row>
    <row r="131" spans="3:4" x14ac:dyDescent="0.25">
      <c r="C131" s="139">
        <v>15</v>
      </c>
      <c r="D131" s="139" t="s">
        <v>7</v>
      </c>
    </row>
    <row r="132" spans="3:4" x14ac:dyDescent="0.25">
      <c r="C132" s="139">
        <v>16</v>
      </c>
      <c r="D132" s="139" t="s">
        <v>8</v>
      </c>
    </row>
    <row r="133" spans="3:4" x14ac:dyDescent="0.25">
      <c r="C133" s="139">
        <v>17</v>
      </c>
      <c r="D133" s="139" t="s">
        <v>9</v>
      </c>
    </row>
    <row r="134" spans="3:4" x14ac:dyDescent="0.25">
      <c r="C134" s="139">
        <v>18</v>
      </c>
      <c r="D134" s="139" t="s">
        <v>10</v>
      </c>
    </row>
    <row r="135" spans="3:4" x14ac:dyDescent="0.25">
      <c r="C135" s="139">
        <v>19</v>
      </c>
      <c r="D135" s="139" t="s">
        <v>11</v>
      </c>
    </row>
    <row r="136" spans="3:4" x14ac:dyDescent="0.25">
      <c r="C136" s="139">
        <v>20</v>
      </c>
      <c r="D136" s="139" t="s">
        <v>12</v>
      </c>
    </row>
    <row r="137" spans="3:4" x14ac:dyDescent="0.25">
      <c r="C137" s="139">
        <v>21</v>
      </c>
      <c r="D137" s="139" t="s">
        <v>13</v>
      </c>
    </row>
    <row r="138" spans="3:4" x14ac:dyDescent="0.25">
      <c r="C138" s="139">
        <v>22</v>
      </c>
      <c r="D138" s="139" t="s">
        <v>14</v>
      </c>
    </row>
    <row r="139" spans="3:4" x14ac:dyDescent="0.25">
      <c r="C139" s="139">
        <v>23</v>
      </c>
      <c r="D139" s="139" t="s">
        <v>15</v>
      </c>
    </row>
    <row r="140" spans="3:4" x14ac:dyDescent="0.25">
      <c r="C140" s="139">
        <v>24</v>
      </c>
      <c r="D140" s="139" t="s">
        <v>16</v>
      </c>
    </row>
  </sheetData>
  <protectedRanges>
    <protectedRange sqref="F46" name="Rango5"/>
    <protectedRange sqref="F8:F9" name="Rango3"/>
    <protectedRange sqref="E23:E25" name="Rango1"/>
    <protectedRange sqref="E15:E16 E8:E9" name="Rango2"/>
    <protectedRange sqref="F23:F25" name="Rango4"/>
  </protectedRanges>
  <mergeCells count="10">
    <mergeCell ref="I9:J10"/>
    <mergeCell ref="C6:F6"/>
    <mergeCell ref="C3:F3"/>
    <mergeCell ref="F52:G52"/>
    <mergeCell ref="C36:F36"/>
    <mergeCell ref="C20:F20"/>
    <mergeCell ref="C28:F28"/>
    <mergeCell ref="C22:D22"/>
    <mergeCell ref="C13:F13"/>
    <mergeCell ref="C44:F44"/>
  </mergeCells>
  <hyperlinks>
    <hyperlink ref="F52:G52" location="Main!A1" display="Volver"/>
    <hyperlink ref="I9:J10" r:id="rId1" location="heading=h.21iq0i45mk31" tooltip="Seccion de ayuda en linea" display="Ayuda"/>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3078" r:id="rId5" name="Button 6">
              <controlPr defaultSize="0" print="0" autoFill="0" autoPict="0" macro="[0]!configvaca">
                <anchor moveWithCells="1" sizeWithCells="1">
                  <from>
                    <xdr:col>7</xdr:col>
                    <xdr:colOff>257175</xdr:colOff>
                    <xdr:row>4</xdr:row>
                    <xdr:rowOff>152400</xdr:rowOff>
                  </from>
                  <to>
                    <xdr:col>10</xdr:col>
                    <xdr:colOff>38100</xdr:colOff>
                    <xdr:row>6</xdr:row>
                    <xdr:rowOff>66675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7"/>
  <dimension ref="B1:H18"/>
  <sheetViews>
    <sheetView showGridLines="0" showRowColHeaders="0" workbookViewId="0">
      <selection activeCell="K9" sqref="K9"/>
    </sheetView>
  </sheetViews>
  <sheetFormatPr baseColWidth="10" defaultColWidth="9.140625" defaultRowHeight="15" x14ac:dyDescent="0.25"/>
  <cols>
    <col min="1" max="1" width="3.5703125" style="59" customWidth="1"/>
    <col min="2" max="2" width="2.85546875" style="59" customWidth="1"/>
    <col min="3" max="3" width="35.42578125" style="59" bestFit="1" customWidth="1"/>
    <col min="4" max="4" width="6.140625" style="59" customWidth="1"/>
    <col min="5" max="5" width="15.5703125" style="59" customWidth="1"/>
    <col min="6" max="6" width="7.140625" style="59" bestFit="1" customWidth="1"/>
    <col min="7" max="7" width="2.85546875" style="59" customWidth="1"/>
    <col min="8" max="16384" width="9.140625" style="59"/>
  </cols>
  <sheetData>
    <row r="1" spans="2:8" ht="15.75" thickBot="1" x14ac:dyDescent="0.3">
      <c r="C1" s="288"/>
      <c r="D1" s="288"/>
    </row>
    <row r="2" spans="2:8" x14ac:dyDescent="0.25">
      <c r="B2" s="219"/>
      <c r="C2" s="220"/>
      <c r="D2" s="220"/>
      <c r="E2" s="220"/>
      <c r="F2" s="220"/>
      <c r="G2" s="221"/>
      <c r="H2" s="199"/>
    </row>
    <row r="3" spans="2:8" x14ac:dyDescent="0.25">
      <c r="B3" s="222"/>
      <c r="C3" s="280" t="s">
        <v>213</v>
      </c>
      <c r="D3" s="263"/>
      <c r="E3" s="263"/>
      <c r="F3" s="263"/>
      <c r="G3" s="224"/>
      <c r="H3" s="199"/>
    </row>
    <row r="4" spans="2:8" x14ac:dyDescent="0.25">
      <c r="B4" s="222"/>
      <c r="C4" s="281">
        <v>21800</v>
      </c>
      <c r="D4" s="223" t="s">
        <v>25</v>
      </c>
      <c r="E4" s="223"/>
      <c r="F4" s="223"/>
      <c r="G4" s="224"/>
      <c r="H4" s="199"/>
    </row>
    <row r="5" spans="2:8" x14ac:dyDescent="0.25">
      <c r="B5" s="222"/>
      <c r="C5" s="223"/>
      <c r="D5" s="223"/>
      <c r="E5" s="223"/>
      <c r="F5" s="223"/>
      <c r="G5" s="224"/>
      <c r="H5" s="199"/>
    </row>
    <row r="6" spans="2:8" x14ac:dyDescent="0.25">
      <c r="B6" s="222"/>
      <c r="C6" s="292" t="s">
        <v>117</v>
      </c>
      <c r="D6" s="280"/>
      <c r="E6" s="280"/>
      <c r="F6" s="280"/>
      <c r="G6" s="224"/>
    </row>
    <row r="7" spans="2:8" x14ac:dyDescent="0.25">
      <c r="B7" s="222"/>
      <c r="C7" s="223"/>
      <c r="D7" s="231" t="str">
        <f>C4&amp;" BsF / 30 dias ="</f>
        <v>21800 BsF / 30 dias =</v>
      </c>
      <c r="E7" s="284">
        <f>C4/30</f>
        <v>726.66666666666663</v>
      </c>
      <c r="F7" s="223" t="s">
        <v>119</v>
      </c>
      <c r="G7" s="224"/>
      <c r="H7" s="199"/>
    </row>
    <row r="8" spans="2:8" x14ac:dyDescent="0.25">
      <c r="B8" s="222"/>
      <c r="C8" s="223"/>
      <c r="D8" s="231"/>
      <c r="E8" s="284"/>
      <c r="F8" s="223"/>
      <c r="G8" s="224"/>
    </row>
    <row r="9" spans="2:8" x14ac:dyDescent="0.25">
      <c r="B9" s="222"/>
      <c r="C9" s="282" t="s">
        <v>118</v>
      </c>
      <c r="D9" s="285">
        <f>Utilidades!F6/360</f>
        <v>0.16666666666666666</v>
      </c>
      <c r="E9" s="283"/>
      <c r="F9" s="283"/>
      <c r="G9" s="224"/>
    </row>
    <row r="10" spans="2:8" x14ac:dyDescent="0.25">
      <c r="B10" s="222"/>
      <c r="C10" s="231"/>
      <c r="D10" s="231" t="str">
        <f>C4&amp;"BsF ("&amp;Utilidades!F6&amp;" dias / 360 dias) / 30 dias ="</f>
        <v>21800BsF (60 dias / 360 dias) / 30 dias =</v>
      </c>
      <c r="E10" s="284">
        <f>D9*E7</f>
        <v>121.1111111111111</v>
      </c>
      <c r="F10" s="223" t="s">
        <v>119</v>
      </c>
      <c r="G10" s="224"/>
    </row>
    <row r="11" spans="2:8" x14ac:dyDescent="0.25">
      <c r="B11" s="222"/>
      <c r="C11" s="231"/>
      <c r="D11" s="231"/>
      <c r="E11" s="223"/>
      <c r="F11" s="223"/>
      <c r="G11" s="224"/>
    </row>
    <row r="12" spans="2:8" x14ac:dyDescent="0.25">
      <c r="B12" s="222"/>
      <c r="C12" s="286" t="s">
        <v>120</v>
      </c>
      <c r="D12" s="157">
        <f ca="1">ROUNDDOWN(Vacaciones!E18/360,2)</f>
        <v>0.05</v>
      </c>
      <c r="E12" s="283"/>
      <c r="F12" s="283"/>
      <c r="G12" s="224"/>
    </row>
    <row r="13" spans="2:8" ht="15.75" thickBot="1" x14ac:dyDescent="0.3">
      <c r="B13" s="222"/>
      <c r="C13" s="293"/>
      <c r="D13" s="294" t="str">
        <f ca="1">C4&amp;"BsF ("&amp;Vacaciones!E18&amp;" dias / 360 dias ) / 30 dias ="</f>
        <v>21800BsF (20 dias / 360 dias ) / 30 dias =</v>
      </c>
      <c r="E13" s="295">
        <f ca="1">D12*E7</f>
        <v>36.333333333333336</v>
      </c>
      <c r="F13" s="291" t="s">
        <v>119</v>
      </c>
      <c r="G13" s="224"/>
    </row>
    <row r="14" spans="2:8" ht="15.75" thickTop="1" x14ac:dyDescent="0.25">
      <c r="B14" s="222"/>
      <c r="C14" s="231"/>
      <c r="D14" s="286" t="s">
        <v>90</v>
      </c>
      <c r="E14" s="287">
        <f ca="1">E7+E10+E13</f>
        <v>884.11111111111109</v>
      </c>
      <c r="F14" s="283" t="s">
        <v>119</v>
      </c>
      <c r="G14" s="224"/>
    </row>
    <row r="15" spans="2:8" x14ac:dyDescent="0.25">
      <c r="B15" s="222"/>
      <c r="C15" s="231"/>
      <c r="D15" s="289"/>
      <c r="E15" s="284"/>
      <c r="F15" s="223"/>
      <c r="G15" s="224"/>
      <c r="H15" s="199"/>
    </row>
    <row r="16" spans="2:8" ht="15.75" thickBot="1" x14ac:dyDescent="0.3">
      <c r="B16" s="222"/>
      <c r="C16" s="290" t="s">
        <v>214</v>
      </c>
      <c r="D16" s="290"/>
      <c r="E16" s="290"/>
      <c r="F16" s="291"/>
      <c r="G16" s="224"/>
    </row>
    <row r="17" spans="2:7" ht="15.75" thickTop="1" x14ac:dyDescent="0.25">
      <c r="B17" s="222"/>
      <c r="C17" s="223"/>
      <c r="D17" s="286" t="s">
        <v>121</v>
      </c>
      <c r="E17" s="287">
        <f ca="1">E14*30</f>
        <v>26523.333333333332</v>
      </c>
      <c r="F17" s="223"/>
      <c r="G17" s="224"/>
    </row>
    <row r="18" spans="2:7" ht="15.75" thickBot="1" x14ac:dyDescent="0.3">
      <c r="B18" s="225"/>
      <c r="C18" s="226"/>
      <c r="D18" s="226"/>
      <c r="E18" s="226"/>
      <c r="F18" s="226"/>
      <c r="G18" s="227"/>
    </row>
  </sheetData>
  <protectedRanges>
    <protectedRange sqref="C4" name="Rango1"/>
  </protectedRange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11" r:id="rId4" name="Button 3">
              <controlPr defaultSize="0" print="0" autoFill="0" autoPict="0" macro="[0]!Volver_y_Copiar">
                <anchor moveWithCells="1" sizeWithCells="1">
                  <from>
                    <xdr:col>7</xdr:col>
                    <xdr:colOff>161925</xdr:colOff>
                    <xdr:row>15</xdr:row>
                    <xdr:rowOff>142875</xdr:rowOff>
                  </from>
                  <to>
                    <xdr:col>9</xdr:col>
                    <xdr:colOff>342900</xdr:colOff>
                    <xdr:row>18</xdr:row>
                    <xdr:rowOff>0</xdr:rowOff>
                  </to>
                </anchor>
              </controlPr>
            </control>
          </mc:Choice>
        </mc:AlternateContent>
        <mc:AlternateContent xmlns:mc="http://schemas.openxmlformats.org/markup-compatibility/2006">
          <mc:Choice Requires="x14">
            <control shapeId="17412" r:id="rId5" name="Button 4">
              <controlPr defaultSize="0" print="0" autoFill="0" autoPict="0" macro="[0]!Ir_Prestaciones">
                <anchor moveWithCells="1" sizeWithCells="1">
                  <from>
                    <xdr:col>7</xdr:col>
                    <xdr:colOff>161925</xdr:colOff>
                    <xdr:row>1</xdr:row>
                    <xdr:rowOff>0</xdr:rowOff>
                  </from>
                  <to>
                    <xdr:col>9</xdr:col>
                    <xdr:colOff>342900</xdr:colOff>
                    <xdr:row>3</xdr:row>
                    <xdr:rowOff>76200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B1:H13"/>
  <sheetViews>
    <sheetView showGridLines="0" workbookViewId="0">
      <selection activeCell="H4" sqref="H4"/>
    </sheetView>
  </sheetViews>
  <sheetFormatPr baseColWidth="10" defaultColWidth="9.140625" defaultRowHeight="15" x14ac:dyDescent="0.25"/>
  <cols>
    <col min="1" max="1" width="3.5703125" customWidth="1"/>
    <col min="2" max="2" width="2.85546875" customWidth="1"/>
    <col min="3" max="3" width="35.42578125" bestFit="1" customWidth="1"/>
    <col min="4" max="4" width="4.42578125" customWidth="1"/>
    <col min="5" max="5" width="12.140625" customWidth="1"/>
    <col min="6" max="6" width="7.140625" bestFit="1" customWidth="1"/>
    <col min="7" max="7" width="2.85546875" customWidth="1"/>
  </cols>
  <sheetData>
    <row r="1" spans="2:8" ht="15.75" thickBot="1" x14ac:dyDescent="0.3">
      <c r="C1" s="150"/>
      <c r="D1" s="150"/>
      <c r="E1" s="87"/>
    </row>
    <row r="2" spans="2:8" x14ac:dyDescent="0.25">
      <c r="B2" s="1"/>
      <c r="C2" s="2"/>
      <c r="D2" s="2"/>
      <c r="E2" s="2"/>
      <c r="F2" s="2"/>
      <c r="G2" s="3"/>
      <c r="H2" s="163" t="s">
        <v>212</v>
      </c>
    </row>
    <row r="3" spans="2:8" x14ac:dyDescent="0.25">
      <c r="B3" s="4"/>
      <c r="C3" s="158" t="s">
        <v>117</v>
      </c>
      <c r="D3" s="154"/>
      <c r="E3" s="154"/>
      <c r="F3" s="154"/>
      <c r="G3" s="5"/>
    </row>
    <row r="4" spans="2:8" s="87" customFormat="1" x14ac:dyDescent="0.25">
      <c r="B4" s="4"/>
      <c r="C4" s="6"/>
      <c r="D4" s="82" t="str">
        <f>Main!C8&amp;" BsF / 30 dias ="</f>
        <v>90000 BsF / 30 dias =</v>
      </c>
      <c r="E4" s="8">
        <f>Main!C8/30</f>
        <v>3000</v>
      </c>
      <c r="F4" s="6" t="s">
        <v>119</v>
      </c>
      <c r="G4" s="5"/>
      <c r="H4" s="163" t="s">
        <v>211</v>
      </c>
    </row>
    <row r="5" spans="2:8" s="87" customFormat="1" x14ac:dyDescent="0.25">
      <c r="B5" s="4"/>
      <c r="C5" s="6"/>
      <c r="D5" s="82"/>
      <c r="E5" s="8"/>
      <c r="F5" s="6"/>
      <c r="G5" s="5"/>
    </row>
    <row r="6" spans="2:8" x14ac:dyDescent="0.25">
      <c r="B6" s="4"/>
      <c r="C6" s="158" t="s">
        <v>118</v>
      </c>
      <c r="D6" s="159">
        <f>Utilidades!F6/360</f>
        <v>0.16666666666666666</v>
      </c>
      <c r="E6" s="154"/>
      <c r="F6" s="154"/>
      <c r="G6" s="5"/>
    </row>
    <row r="7" spans="2:8" s="87" customFormat="1" x14ac:dyDescent="0.25">
      <c r="B7" s="4"/>
      <c r="C7" s="82"/>
      <c r="D7" s="82" t="str">
        <f>Main!C8&amp;"BsF ("&amp;Utilidades!F6&amp;" dias / 360 dias) / 30 dias ="</f>
        <v>90000BsF (60 dias / 360 dias) / 30 dias =</v>
      </c>
      <c r="E7" s="8">
        <f>D6*E4</f>
        <v>500</v>
      </c>
      <c r="F7" s="6" t="s">
        <v>119</v>
      </c>
      <c r="G7" s="5"/>
    </row>
    <row r="8" spans="2:8" s="87" customFormat="1" x14ac:dyDescent="0.25">
      <c r="B8" s="4"/>
      <c r="C8" s="82"/>
      <c r="D8" s="82"/>
      <c r="E8" s="6"/>
      <c r="F8" s="6"/>
      <c r="G8" s="5"/>
    </row>
    <row r="9" spans="2:8" x14ac:dyDescent="0.25">
      <c r="B9" s="4"/>
      <c r="C9" s="86" t="s">
        <v>120</v>
      </c>
      <c r="D9" s="157">
        <f ca="1">ROUNDDOWN(Vacaciones!E18/360,2)</f>
        <v>0.05</v>
      </c>
      <c r="E9" s="154"/>
      <c r="F9" s="154"/>
      <c r="G9" s="5"/>
    </row>
    <row r="10" spans="2:8" s="87" customFormat="1" x14ac:dyDescent="0.25">
      <c r="B10" s="4"/>
      <c r="C10" s="151"/>
      <c r="D10" s="155" t="str">
        <f ca="1">Main!C8&amp;"BsF ("&amp;Vacaciones!E18&amp;" dias / 360 dias ) / 30 dias ="</f>
        <v>90000BsF (20 dias / 360 dias ) / 30 dias =</v>
      </c>
      <c r="E10" s="71">
        <f ca="1">D9*E4</f>
        <v>150</v>
      </c>
      <c r="F10" s="156" t="s">
        <v>119</v>
      </c>
      <c r="G10" s="5"/>
    </row>
    <row r="11" spans="2:8" s="87" customFormat="1" x14ac:dyDescent="0.25">
      <c r="B11" s="4"/>
      <c r="C11" s="82"/>
      <c r="D11" s="86" t="s">
        <v>90</v>
      </c>
      <c r="E11" s="12">
        <f ca="1">E4+E7+E10</f>
        <v>3650</v>
      </c>
      <c r="F11" s="154" t="s">
        <v>119</v>
      </c>
      <c r="G11" s="5"/>
    </row>
    <row r="12" spans="2:8" s="87" customFormat="1" ht="15.75" thickBot="1" x14ac:dyDescent="0.3">
      <c r="B12" s="9"/>
      <c r="C12" s="160"/>
      <c r="D12" s="161"/>
      <c r="E12" s="162"/>
      <c r="F12" s="10"/>
      <c r="G12" s="11"/>
      <c r="H12" s="163" t="s">
        <v>196</v>
      </c>
    </row>
    <row r="13" spans="2:8" x14ac:dyDescent="0.25">
      <c r="D13" s="153" t="s">
        <v>121</v>
      </c>
      <c r="E13" s="152">
        <f ca="1">E11*30</f>
        <v>109500</v>
      </c>
    </row>
  </sheetData>
  <hyperlinks>
    <hyperlink ref="H2" location="Prestaciones!A1" display="VOLVER"/>
    <hyperlink ref="H12" location="Sueldo!D5" display="Modificar Salario Base"/>
    <hyperlink ref="H4" location="Main!A1" display="Volver a Main"/>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8">
    <pageSetUpPr fitToPage="1"/>
  </sheetPr>
  <dimension ref="A1:X1406"/>
  <sheetViews>
    <sheetView showGridLines="0" workbookViewId="0">
      <selection activeCell="V3" sqref="V3"/>
    </sheetView>
  </sheetViews>
  <sheetFormatPr baseColWidth="10" defaultColWidth="9.140625" defaultRowHeight="15" x14ac:dyDescent="0.25"/>
  <cols>
    <col min="1" max="1" width="4.28515625" style="73" customWidth="1"/>
    <col min="2" max="2" width="2.85546875" style="73" customWidth="1"/>
    <col min="3" max="3" width="7.42578125" customWidth="1"/>
    <col min="4" max="4" width="6.5703125" style="89" hidden="1" customWidth="1"/>
    <col min="5" max="5" width="11.42578125" customWidth="1"/>
    <col min="6" max="6" width="17.42578125" customWidth="1"/>
    <col min="7" max="7" width="9" style="88" customWidth="1"/>
    <col min="8" max="8" width="6.42578125" style="88" customWidth="1"/>
    <col min="9" max="9" width="3.28515625" style="89" hidden="1" customWidth="1"/>
    <col min="10" max="10" width="4.28515625" style="89" hidden="1" customWidth="1"/>
    <col min="11" max="11" width="6.28515625" style="89" hidden="1" customWidth="1"/>
    <col min="12" max="12" width="6.85546875" style="89" hidden="1" customWidth="1"/>
    <col min="13" max="13" width="8.5703125" style="139" customWidth="1"/>
    <col min="14" max="14" width="12.5703125" style="88" customWidth="1"/>
    <col min="15" max="15" width="16.28515625" customWidth="1"/>
    <col min="16" max="16" width="14.42578125" style="87" customWidth="1"/>
    <col min="17" max="17" width="15.28515625" customWidth="1"/>
    <col min="18" max="18" width="11.42578125" customWidth="1"/>
    <col min="19" max="19" width="12.85546875" customWidth="1"/>
    <col min="20" max="20" width="13.5703125" customWidth="1"/>
    <col min="21" max="21" width="2.85546875" customWidth="1"/>
    <col min="22" max="22" width="4.28515625" customWidth="1"/>
  </cols>
  <sheetData>
    <row r="1" spans="2:24" s="73" customFormat="1" x14ac:dyDescent="0.25">
      <c r="B1" s="6"/>
      <c r="C1" s="6"/>
      <c r="D1" s="97"/>
      <c r="E1" s="6"/>
      <c r="F1" s="6"/>
      <c r="G1" s="80"/>
      <c r="H1" s="80"/>
      <c r="I1" s="97"/>
      <c r="J1" s="97"/>
      <c r="K1" s="97"/>
      <c r="L1" s="97"/>
      <c r="M1" s="142"/>
      <c r="N1" s="80"/>
      <c r="O1" s="6"/>
      <c r="P1" s="6"/>
      <c r="Q1" s="6"/>
      <c r="R1" s="6"/>
      <c r="S1" s="6"/>
      <c r="T1" s="6"/>
      <c r="U1" s="6"/>
    </row>
    <row r="2" spans="2:24" s="87" customFormat="1" ht="15.75" thickBot="1" x14ac:dyDescent="0.3">
      <c r="B2" s="6" t="str">
        <f>"Fecha: "</f>
        <v xml:space="preserve">Fecha: </v>
      </c>
      <c r="C2" s="6"/>
      <c r="D2" s="97"/>
      <c r="E2" s="165">
        <f ca="1">TODAY()</f>
        <v>42751</v>
      </c>
      <c r="F2" s="6"/>
      <c r="G2" s="80"/>
      <c r="H2" s="80"/>
      <c r="I2" s="97"/>
      <c r="J2" s="97"/>
      <c r="K2" s="97"/>
      <c r="L2" s="97"/>
      <c r="M2" s="142"/>
      <c r="N2" s="80"/>
      <c r="O2" s="6"/>
      <c r="P2" s="6"/>
      <c r="Q2" s="6"/>
      <c r="R2" s="6"/>
      <c r="S2" s="6"/>
      <c r="T2" s="6"/>
      <c r="U2" s="6"/>
    </row>
    <row r="3" spans="2:24" s="87" customFormat="1" x14ac:dyDescent="0.25">
      <c r="B3" s="1"/>
      <c r="C3" s="2"/>
      <c r="D3" s="93"/>
      <c r="E3" s="2"/>
      <c r="F3" s="2"/>
      <c r="G3" s="480"/>
      <c r="H3" s="480"/>
      <c r="I3" s="480"/>
      <c r="J3" s="93"/>
      <c r="K3" s="93"/>
      <c r="L3" s="93"/>
      <c r="M3" s="140"/>
      <c r="N3" s="164"/>
      <c r="O3" s="2"/>
      <c r="P3" s="2"/>
      <c r="Q3" s="2"/>
      <c r="R3" s="2"/>
      <c r="S3" s="2"/>
      <c r="T3" s="2"/>
      <c r="U3" s="3"/>
      <c r="V3" s="146" t="s">
        <v>87</v>
      </c>
    </row>
    <row r="4" spans="2:24" s="87" customFormat="1" x14ac:dyDescent="0.25">
      <c r="B4" s="4"/>
      <c r="C4" s="6" t="s">
        <v>122</v>
      </c>
      <c r="D4" s="97"/>
      <c r="E4" s="6"/>
      <c r="F4" s="6"/>
      <c r="G4" s="477">
        <f ca="1">'Salario Integral'!E13</f>
        <v>109500</v>
      </c>
      <c r="H4" s="477"/>
      <c r="I4" s="477"/>
      <c r="J4" s="97"/>
      <c r="K4" s="97"/>
      <c r="L4" s="97"/>
      <c r="M4" s="142" t="s">
        <v>116</v>
      </c>
      <c r="N4" s="166"/>
      <c r="O4" s="6"/>
      <c r="P4" s="6"/>
      <c r="Q4" s="6"/>
      <c r="R4" s="6"/>
      <c r="S4" s="6"/>
      <c r="T4" s="6"/>
      <c r="U4" s="5"/>
    </row>
    <row r="5" spans="2:24" x14ac:dyDescent="0.25">
      <c r="B5" s="4"/>
      <c r="C5" s="6"/>
      <c r="D5" s="97"/>
      <c r="E5" s="6"/>
      <c r="F5" s="6"/>
      <c r="G5" s="80"/>
      <c r="H5" s="80"/>
      <c r="I5" s="97"/>
      <c r="J5" s="97"/>
      <c r="K5" s="97"/>
      <c r="L5" s="97"/>
      <c r="M5" s="142"/>
      <c r="N5" s="80"/>
      <c r="O5" s="6"/>
      <c r="P5" s="6"/>
      <c r="Q5" s="6"/>
      <c r="R5" s="6"/>
      <c r="S5" s="6"/>
      <c r="T5" s="6"/>
      <c r="U5" s="5"/>
    </row>
    <row r="6" spans="2:24" x14ac:dyDescent="0.25">
      <c r="B6" s="4"/>
      <c r="C6" s="482" t="s">
        <v>79</v>
      </c>
      <c r="D6" s="482"/>
      <c r="E6" s="482"/>
      <c r="F6" s="482"/>
      <c r="G6" s="466">
        <f>SUM(O14:O385)</f>
        <v>39620.200000000004</v>
      </c>
      <c r="H6" s="466"/>
      <c r="I6" s="466"/>
      <c r="J6" s="466"/>
      <c r="K6" s="466"/>
      <c r="L6" s="466"/>
      <c r="M6" s="466"/>
      <c r="N6" s="466"/>
      <c r="O6" s="6"/>
      <c r="P6" s="6"/>
      <c r="Q6" s="463" t="s">
        <v>83</v>
      </c>
      <c r="R6" s="463"/>
      <c r="S6" s="463"/>
      <c r="T6" s="326">
        <f>MAX(T14:T385)</f>
        <v>3863.3244400000003</v>
      </c>
      <c r="U6" s="5"/>
    </row>
    <row r="7" spans="2:24" x14ac:dyDescent="0.25">
      <c r="B7" s="4"/>
      <c r="C7" s="472" t="s">
        <v>80</v>
      </c>
      <c r="D7" s="472"/>
      <c r="E7" s="472"/>
      <c r="F7" s="472"/>
      <c r="G7" s="481">
        <f>SUM(P14:P385)</f>
        <v>-14000</v>
      </c>
      <c r="H7" s="481"/>
      <c r="I7" s="481"/>
      <c r="J7" s="481"/>
      <c r="K7" s="481"/>
      <c r="L7" s="481"/>
      <c r="M7" s="481"/>
      <c r="N7" s="481"/>
      <c r="O7" s="6"/>
      <c r="P7" s="6"/>
      <c r="Q7" s="464" t="s">
        <v>84</v>
      </c>
      <c r="R7" s="464"/>
      <c r="S7" s="464"/>
      <c r="T7" s="327">
        <v>0</v>
      </c>
      <c r="U7" s="5"/>
    </row>
    <row r="8" spans="2:24" s="73" customFormat="1" x14ac:dyDescent="0.25">
      <c r="B8" s="4"/>
      <c r="C8" s="478" t="s">
        <v>81</v>
      </c>
      <c r="D8" s="478"/>
      <c r="E8" s="478"/>
      <c r="F8" s="478"/>
      <c r="G8" s="469">
        <f>G6+G7</f>
        <v>25620.200000000004</v>
      </c>
      <c r="H8" s="469"/>
      <c r="I8" s="469"/>
      <c r="J8" s="469"/>
      <c r="K8" s="469"/>
      <c r="L8" s="469"/>
      <c r="M8" s="469"/>
      <c r="N8" s="469"/>
      <c r="O8" s="6"/>
      <c r="P8" s="6"/>
      <c r="Q8" s="465" t="s">
        <v>85</v>
      </c>
      <c r="R8" s="465"/>
      <c r="S8" s="465"/>
      <c r="T8" s="328">
        <f>T6-T7</f>
        <v>3863.3244400000003</v>
      </c>
      <c r="U8" s="5"/>
    </row>
    <row r="9" spans="2:24" s="73" customFormat="1" x14ac:dyDescent="0.25">
      <c r="B9" s="4"/>
      <c r="C9" s="228"/>
      <c r="D9" s="228"/>
      <c r="E9" s="228"/>
      <c r="F9" s="228"/>
      <c r="G9" s="94"/>
      <c r="H9" s="229"/>
      <c r="I9" s="229"/>
      <c r="J9" s="229"/>
      <c r="K9" s="229"/>
      <c r="L9" s="229"/>
      <c r="M9" s="141"/>
      <c r="N9" s="229"/>
      <c r="O9" s="6"/>
      <c r="P9" s="6"/>
      <c r="Q9" s="96"/>
      <c r="R9" s="96"/>
      <c r="S9" s="96"/>
      <c r="T9" s="96"/>
      <c r="U9" s="5"/>
    </row>
    <row r="10" spans="2:24" ht="15.75" thickBot="1" x14ac:dyDescent="0.3">
      <c r="B10" s="4"/>
      <c r="C10" s="479" t="s">
        <v>82</v>
      </c>
      <c r="D10" s="479"/>
      <c r="E10" s="479"/>
      <c r="F10" s="479"/>
      <c r="G10" s="470">
        <f>G8*0.75</f>
        <v>19215.150000000001</v>
      </c>
      <c r="H10" s="470"/>
      <c r="I10" s="470"/>
      <c r="J10" s="470"/>
      <c r="K10" s="470"/>
      <c r="L10" s="470"/>
      <c r="M10" s="470"/>
      <c r="N10" s="470"/>
      <c r="O10" s="6"/>
      <c r="P10" s="6"/>
      <c r="Q10" s="6"/>
      <c r="R10" s="96"/>
      <c r="S10" s="96"/>
      <c r="T10" s="96"/>
      <c r="U10" s="5"/>
    </row>
    <row r="11" spans="2:24" ht="15.75" thickTop="1" x14ac:dyDescent="0.25">
      <c r="B11" s="4"/>
      <c r="C11" s="6"/>
      <c r="D11" s="97"/>
      <c r="E11" s="6"/>
      <c r="F11" s="6"/>
      <c r="G11" s="80"/>
      <c r="H11" s="80"/>
      <c r="I11" s="97"/>
      <c r="J11" s="97"/>
      <c r="K11" s="97"/>
      <c r="L11" s="97"/>
      <c r="M11" s="142"/>
      <c r="N11" s="80"/>
      <c r="O11" s="6"/>
      <c r="P11" s="6"/>
      <c r="Q11" s="6"/>
      <c r="R11" s="96"/>
      <c r="S11" s="96"/>
      <c r="T11" s="96"/>
      <c r="U11" s="5"/>
    </row>
    <row r="12" spans="2:24" ht="15" customHeight="1" x14ac:dyDescent="0.25">
      <c r="B12" s="4"/>
      <c r="C12" s="471" t="s">
        <v>74</v>
      </c>
      <c r="D12" s="90"/>
      <c r="E12" s="471" t="s">
        <v>1</v>
      </c>
      <c r="F12" s="471" t="s">
        <v>67</v>
      </c>
      <c r="G12" s="471" t="s">
        <v>74</v>
      </c>
      <c r="H12" s="471" t="s">
        <v>1</v>
      </c>
      <c r="I12" s="136" t="s">
        <v>113</v>
      </c>
      <c r="J12" s="137" t="s">
        <v>112</v>
      </c>
      <c r="K12" s="135" t="s">
        <v>48</v>
      </c>
      <c r="L12" s="144" t="s">
        <v>115</v>
      </c>
      <c r="M12" s="474" t="s">
        <v>114</v>
      </c>
      <c r="N12" s="476" t="s">
        <v>78</v>
      </c>
      <c r="O12" s="471" t="s">
        <v>55</v>
      </c>
      <c r="P12" s="467" t="s">
        <v>154</v>
      </c>
      <c r="Q12" s="471" t="s">
        <v>2</v>
      </c>
      <c r="R12" s="473" t="s">
        <v>77</v>
      </c>
      <c r="S12" s="473"/>
      <c r="T12" s="473"/>
      <c r="U12" s="5"/>
      <c r="W12" s="462"/>
      <c r="X12" s="462"/>
    </row>
    <row r="13" spans="2:24" x14ac:dyDescent="0.25">
      <c r="B13" s="4"/>
      <c r="C13" s="471"/>
      <c r="D13" s="91" t="s">
        <v>75</v>
      </c>
      <c r="E13" s="471"/>
      <c r="F13" s="471"/>
      <c r="G13" s="471"/>
      <c r="H13" s="471"/>
      <c r="I13" s="91"/>
      <c r="J13" s="138"/>
      <c r="K13" s="91"/>
      <c r="L13" s="145"/>
      <c r="M13" s="475"/>
      <c r="N13" s="476"/>
      <c r="O13" s="471"/>
      <c r="P13" s="468"/>
      <c r="Q13" s="471"/>
      <c r="R13" s="174" t="s">
        <v>86</v>
      </c>
      <c r="S13" s="92" t="s">
        <v>76</v>
      </c>
      <c r="T13" s="92" t="s">
        <v>2</v>
      </c>
      <c r="U13" s="5"/>
      <c r="W13" s="148"/>
      <c r="X13" s="148"/>
    </row>
    <row r="14" spans="2:24" x14ac:dyDescent="0.25">
      <c r="B14" s="4"/>
      <c r="C14" s="108">
        <f>YEAR(Main!C5)</f>
        <v>2011</v>
      </c>
      <c r="D14" s="109">
        <f>MONTH(Main!C5)</f>
        <v>3</v>
      </c>
      <c r="E14" s="110" t="str">
        <f>VLOOKUP(MONTH(Main!C5),FECHAS!A3:B14,2,0)</f>
        <v>Marzo</v>
      </c>
      <c r="F14" s="319">
        <v>5805</v>
      </c>
      <c r="G14" s="108">
        <v>0</v>
      </c>
      <c r="H14" s="108">
        <v>0</v>
      </c>
      <c r="I14" s="111">
        <v>0</v>
      </c>
      <c r="J14" s="111">
        <f>IF(H14&gt;3,5,0)</f>
        <v>0</v>
      </c>
      <c r="K14" s="111">
        <f>IF(OR(D14=7,D14=10,D14=1,D14=4),5,0)</f>
        <v>0</v>
      </c>
      <c r="L14" s="111">
        <v>0</v>
      </c>
      <c r="M14" s="143" t="str">
        <f>IF(OR(AND(C14&gt;=2012,D14&gt;=5),C14&gt;2012),"LOTTT","LOT")</f>
        <v>LOT</v>
      </c>
      <c r="N14" s="108">
        <f>IF(M14="LOT",I14+J14,I14+K14)</f>
        <v>0</v>
      </c>
      <c r="O14" s="321">
        <f>(F14/30)*N14</f>
        <v>0</v>
      </c>
      <c r="P14" s="322"/>
      <c r="Q14" s="321">
        <f>O14</f>
        <v>0</v>
      </c>
      <c r="R14" s="173">
        <f>IF(ISNUMBER(VLOOKUP(E14,InteresPres!$B$2:$W$14,Prestaciones!C14-1997+2,0)),VLOOKUP(E14,InteresPres!$B$2:$W$14,Prestaciones!C14-1997+2,0),"0")/100</f>
        <v>0.16</v>
      </c>
      <c r="S14" s="323">
        <f>IF(F14&gt;0,(R14/12)*Q14,0)</f>
        <v>0</v>
      </c>
      <c r="T14" s="323">
        <f>S14</f>
        <v>0</v>
      </c>
      <c r="U14" s="5"/>
      <c r="W14" s="149"/>
      <c r="X14" s="149"/>
    </row>
    <row r="15" spans="2:24" x14ac:dyDescent="0.25">
      <c r="B15" s="4"/>
      <c r="C15" s="108">
        <f>IF(D14=12,C14+1,C14)</f>
        <v>2011</v>
      </c>
      <c r="D15" s="109">
        <f>IF(D14=12,1,D14+1)</f>
        <v>4</v>
      </c>
      <c r="E15" s="110" t="str">
        <f>VLOOKUP(D15,FECHAS!$A$3:$B$14,2,0)</f>
        <v>Abril</v>
      </c>
      <c r="F15" s="320">
        <v>5805</v>
      </c>
      <c r="G15" s="108">
        <f>IF(H14=11,G14+1,G14)</f>
        <v>0</v>
      </c>
      <c r="H15" s="108">
        <f>IF(H14=11,0,H14+1)</f>
        <v>1</v>
      </c>
      <c r="I15" s="111">
        <f>lottt192(G15,H14)</f>
        <v>0</v>
      </c>
      <c r="J15" s="111">
        <f>IF(H15&gt;3,5,0)</f>
        <v>0</v>
      </c>
      <c r="K15" s="111">
        <f>IF(OR(D15=7,D15=10,D15=1,D15=4),10,0)</f>
        <v>10</v>
      </c>
      <c r="L15" s="111">
        <v>0</v>
      </c>
      <c r="M15" s="143" t="str">
        <f t="shared" ref="M15:M78" si="0">IF(OR(AND(C15&gt;=2012,D15&gt;=5),C15&gt;2012),"LOTTT","LOT")</f>
        <v>LOT</v>
      </c>
      <c r="N15" s="108">
        <f t="shared" ref="N15:N78" si="1">IF(M15="LOT",I15+J15,I15+K15)</f>
        <v>0</v>
      </c>
      <c r="O15" s="321">
        <f t="shared" ref="O15:O78" si="2">(F15/30)*N15</f>
        <v>0</v>
      </c>
      <c r="P15" s="322"/>
      <c r="Q15" s="321">
        <f>IF(F15&gt;0,O15+Q14+P15,0)</f>
        <v>0</v>
      </c>
      <c r="R15" s="173">
        <f>IF(ISNUMBER(VLOOKUP(E15,InteresPres!$B$2:$W$14,Prestaciones!C15-1997+2,0)),VLOOKUP(E15,InteresPres!$B$2:$W$14,Prestaciones!C15-1997+2,0),"0")/100</f>
        <v>0.16370000000000001</v>
      </c>
      <c r="S15" s="323">
        <f t="shared" ref="S15:S78" si="3">IF(F15&gt;0,(R15/12)*Q15,0)</f>
        <v>0</v>
      </c>
      <c r="T15" s="323">
        <f>IF(F15&gt;0,S15+T14,0)</f>
        <v>0</v>
      </c>
      <c r="U15" s="5"/>
      <c r="W15" s="147"/>
    </row>
    <row r="16" spans="2:24" x14ac:dyDescent="0.25">
      <c r="B16" s="4"/>
      <c r="C16" s="108">
        <f t="shared" ref="C16:C79" si="4">IF(D15=12,C15+1,C15)</f>
        <v>2011</v>
      </c>
      <c r="D16" s="109">
        <f t="shared" ref="D16:D79" si="5">IF(D15=12,1,D15+1)</f>
        <v>5</v>
      </c>
      <c r="E16" s="110" t="str">
        <f>VLOOKUP(D16,FECHAS!$A$3:$B$14,2,0)</f>
        <v>Mayo</v>
      </c>
      <c r="F16" s="320">
        <v>5805</v>
      </c>
      <c r="G16" s="108">
        <f t="shared" ref="G16:G79" si="6">IF(H15=11,G15+1,G15)</f>
        <v>0</v>
      </c>
      <c r="H16" s="108">
        <f t="shared" ref="H16:H79" si="7">IF(H15=11,0,H15+1)</f>
        <v>2</v>
      </c>
      <c r="I16" s="111">
        <f t="shared" ref="I16:I79" si="8">lottt192(G16,H15)</f>
        <v>0</v>
      </c>
      <c r="J16" s="111">
        <f>IF(H16&gt;3,5,0)</f>
        <v>0</v>
      </c>
      <c r="K16" s="111">
        <f>IF(OR(D16=7,D16=10,D16=1,D16=4),15,0)</f>
        <v>0</v>
      </c>
      <c r="L16" s="111">
        <f>IF(AND(C16=2012,D16=6),-5,0)</f>
        <v>0</v>
      </c>
      <c r="M16" s="143" t="str">
        <f t="shared" si="0"/>
        <v>LOT</v>
      </c>
      <c r="N16" s="108">
        <f t="shared" si="1"/>
        <v>0</v>
      </c>
      <c r="O16" s="321">
        <f t="shared" si="2"/>
        <v>0</v>
      </c>
      <c r="P16" s="322"/>
      <c r="Q16" s="321">
        <f t="shared" ref="Q16:Q79" si="9">IF(F16&gt;0,O16+Q15+P16,0)</f>
        <v>0</v>
      </c>
      <c r="R16" s="173">
        <f>IF(ISNUMBER(VLOOKUP(E16,InteresPres!$B$2:$W$14,Prestaciones!C16-1997+2,0)),VLOOKUP(E16,InteresPres!$B$2:$W$14,Prestaciones!C16-1997+2,0),"0")/100</f>
        <v>0.16639999999999999</v>
      </c>
      <c r="S16" s="323">
        <f t="shared" si="3"/>
        <v>0</v>
      </c>
      <c r="T16" s="323">
        <f t="shared" ref="T16:T79" si="10">IF(F16&gt;0,S16+T15,0)</f>
        <v>0</v>
      </c>
      <c r="U16" s="5"/>
    </row>
    <row r="17" spans="2:21" x14ac:dyDescent="0.25">
      <c r="B17" s="4"/>
      <c r="C17" s="108">
        <f t="shared" si="4"/>
        <v>2011</v>
      </c>
      <c r="D17" s="109">
        <f t="shared" si="5"/>
        <v>6</v>
      </c>
      <c r="E17" s="110" t="str">
        <f>VLOOKUP(D17,FECHAS!$A$3:$B$14,2,0)</f>
        <v>Junio</v>
      </c>
      <c r="F17" s="320">
        <v>5805</v>
      </c>
      <c r="G17" s="108">
        <f t="shared" si="6"/>
        <v>0</v>
      </c>
      <c r="H17" s="108">
        <f t="shared" si="7"/>
        <v>3</v>
      </c>
      <c r="I17" s="111">
        <f t="shared" si="8"/>
        <v>0</v>
      </c>
      <c r="J17" s="111">
        <f>IF(H17&gt;3,5,0)</f>
        <v>0</v>
      </c>
      <c r="K17" s="111">
        <f t="shared" ref="K17:K80" si="11">IF(OR(D17=7,D17=10,D17=1,D17=4),15,0)</f>
        <v>0</v>
      </c>
      <c r="L17" s="111">
        <f t="shared" ref="L17:L80" si="12">IF(AND(C17=2012,D17=6),-5,0)</f>
        <v>0</v>
      </c>
      <c r="M17" s="143" t="str">
        <f t="shared" si="0"/>
        <v>LOT</v>
      </c>
      <c r="N17" s="108">
        <f t="shared" si="1"/>
        <v>0</v>
      </c>
      <c r="O17" s="321">
        <f t="shared" si="2"/>
        <v>0</v>
      </c>
      <c r="P17" s="322"/>
      <c r="Q17" s="321">
        <f t="shared" si="9"/>
        <v>0</v>
      </c>
      <c r="R17" s="173">
        <f>IF(ISNUMBER(VLOOKUP(E17,InteresPres!$B$2:$W$14,Prestaciones!C17-1997+2,0)),VLOOKUP(E17,InteresPres!$B$2:$W$14,Prestaciones!C17-1997+2,0),"0")/100</f>
        <v>0.16089999999999999</v>
      </c>
      <c r="S17" s="323">
        <f t="shared" si="3"/>
        <v>0</v>
      </c>
      <c r="T17" s="323">
        <f t="shared" si="10"/>
        <v>0</v>
      </c>
      <c r="U17" s="5"/>
    </row>
    <row r="18" spans="2:21" x14ac:dyDescent="0.25">
      <c r="B18" s="4"/>
      <c r="C18" s="108">
        <f t="shared" si="4"/>
        <v>2011</v>
      </c>
      <c r="D18" s="109">
        <f t="shared" si="5"/>
        <v>7</v>
      </c>
      <c r="E18" s="110" t="str">
        <f>VLOOKUP(D18,FECHAS!$A$3:$B$14,2,0)</f>
        <v>Julio</v>
      </c>
      <c r="F18" s="320">
        <v>5805</v>
      </c>
      <c r="G18" s="108">
        <f t="shared" si="6"/>
        <v>0</v>
      </c>
      <c r="H18" s="108">
        <f t="shared" si="7"/>
        <v>4</v>
      </c>
      <c r="I18" s="111">
        <f t="shared" si="8"/>
        <v>0</v>
      </c>
      <c r="J18" s="111">
        <v>5</v>
      </c>
      <c r="K18" s="111">
        <f t="shared" si="11"/>
        <v>15</v>
      </c>
      <c r="L18" s="111">
        <f t="shared" si="12"/>
        <v>0</v>
      </c>
      <c r="M18" s="143" t="str">
        <f t="shared" si="0"/>
        <v>LOT</v>
      </c>
      <c r="N18" s="108">
        <f t="shared" si="1"/>
        <v>5</v>
      </c>
      <c r="O18" s="321">
        <f t="shared" si="2"/>
        <v>967.5</v>
      </c>
      <c r="P18" s="322"/>
      <c r="Q18" s="321">
        <f t="shared" si="9"/>
        <v>967.5</v>
      </c>
      <c r="R18" s="173">
        <f>IF(ISNUMBER(VLOOKUP(E18,InteresPres!$B$2:$W$14,Prestaciones!C18-1997+2,0)),VLOOKUP(E18,InteresPres!$B$2:$W$14,Prestaciones!C18-1997+2,0),"0")/100</f>
        <v>0.16519999999999999</v>
      </c>
      <c r="S18" s="323">
        <f t="shared" si="3"/>
        <v>13.319249999999998</v>
      </c>
      <c r="T18" s="323">
        <f t="shared" si="10"/>
        <v>13.319249999999998</v>
      </c>
      <c r="U18" s="5"/>
    </row>
    <row r="19" spans="2:21" x14ac:dyDescent="0.25">
      <c r="B19" s="4"/>
      <c r="C19" s="108">
        <f t="shared" si="4"/>
        <v>2011</v>
      </c>
      <c r="D19" s="109">
        <f t="shared" si="5"/>
        <v>8</v>
      </c>
      <c r="E19" s="110" t="str">
        <f>VLOOKUP(D19,FECHAS!$A$3:$B$14,2,0)</f>
        <v>Agosto</v>
      </c>
      <c r="F19" s="320">
        <v>5805</v>
      </c>
      <c r="G19" s="108">
        <f t="shared" si="6"/>
        <v>0</v>
      </c>
      <c r="H19" s="108">
        <f t="shared" si="7"/>
        <v>5</v>
      </c>
      <c r="I19" s="111">
        <f t="shared" si="8"/>
        <v>0</v>
      </c>
      <c r="J19" s="111">
        <v>5</v>
      </c>
      <c r="K19" s="111">
        <f t="shared" si="11"/>
        <v>0</v>
      </c>
      <c r="L19" s="111">
        <f t="shared" si="12"/>
        <v>0</v>
      </c>
      <c r="M19" s="143" t="str">
        <f t="shared" si="0"/>
        <v>LOT</v>
      </c>
      <c r="N19" s="108">
        <f t="shared" si="1"/>
        <v>5</v>
      </c>
      <c r="O19" s="321">
        <f t="shared" si="2"/>
        <v>967.5</v>
      </c>
      <c r="P19" s="322"/>
      <c r="Q19" s="321">
        <f t="shared" si="9"/>
        <v>1935</v>
      </c>
      <c r="R19" s="173">
        <f>IF(ISNUMBER(VLOOKUP(E19,InteresPres!$B$2:$W$14,Prestaciones!C19-1997+2,0)),VLOOKUP(E19,InteresPres!$B$2:$W$14,Prestaciones!C19-1997+2,0),"0")/100</f>
        <v>0.15939999999999999</v>
      </c>
      <c r="S19" s="323">
        <f t="shared" si="3"/>
        <v>25.703250000000001</v>
      </c>
      <c r="T19" s="323">
        <f t="shared" si="10"/>
        <v>39.022500000000001</v>
      </c>
      <c r="U19" s="5"/>
    </row>
    <row r="20" spans="2:21" x14ac:dyDescent="0.25">
      <c r="B20" s="4"/>
      <c r="C20" s="108">
        <f t="shared" si="4"/>
        <v>2011</v>
      </c>
      <c r="D20" s="109">
        <f t="shared" si="5"/>
        <v>9</v>
      </c>
      <c r="E20" s="110" t="str">
        <f>VLOOKUP(D20,FECHAS!$A$3:$B$14,2,0)</f>
        <v>Septiembre</v>
      </c>
      <c r="F20" s="320">
        <v>5805</v>
      </c>
      <c r="G20" s="108">
        <f t="shared" si="6"/>
        <v>0</v>
      </c>
      <c r="H20" s="108">
        <f t="shared" si="7"/>
        <v>6</v>
      </c>
      <c r="I20" s="111">
        <f t="shared" si="8"/>
        <v>0</v>
      </c>
      <c r="J20" s="111">
        <v>5</v>
      </c>
      <c r="K20" s="111">
        <f t="shared" si="11"/>
        <v>0</v>
      </c>
      <c r="L20" s="111">
        <f t="shared" si="12"/>
        <v>0</v>
      </c>
      <c r="M20" s="143" t="str">
        <f t="shared" si="0"/>
        <v>LOT</v>
      </c>
      <c r="N20" s="108">
        <f t="shared" si="1"/>
        <v>5</v>
      </c>
      <c r="O20" s="321">
        <f t="shared" si="2"/>
        <v>967.5</v>
      </c>
      <c r="P20" s="322"/>
      <c r="Q20" s="321">
        <f t="shared" si="9"/>
        <v>2902.5</v>
      </c>
      <c r="R20" s="173">
        <f>IF(ISNUMBER(VLOOKUP(E20,InteresPres!$B$2:$W$14,Prestaciones!C20-1997+2,0)),VLOOKUP(E20,InteresPres!$B$2:$W$14,Prestaciones!C20-1997+2,0),"0")/100</f>
        <v>0.16</v>
      </c>
      <c r="S20" s="323">
        <f t="shared" si="3"/>
        <v>38.700000000000003</v>
      </c>
      <c r="T20" s="323">
        <f t="shared" si="10"/>
        <v>77.722499999999997</v>
      </c>
      <c r="U20" s="5"/>
    </row>
    <row r="21" spans="2:21" x14ac:dyDescent="0.25">
      <c r="B21" s="4"/>
      <c r="C21" s="108">
        <f t="shared" si="4"/>
        <v>2011</v>
      </c>
      <c r="D21" s="109">
        <f t="shared" si="5"/>
        <v>10</v>
      </c>
      <c r="E21" s="110" t="str">
        <f>VLOOKUP(D21,FECHAS!$A$3:$B$14,2,0)</f>
        <v>Octubre</v>
      </c>
      <c r="F21" s="320">
        <v>5805</v>
      </c>
      <c r="G21" s="108">
        <f t="shared" si="6"/>
        <v>0</v>
      </c>
      <c r="H21" s="108">
        <f t="shared" si="7"/>
        <v>7</v>
      </c>
      <c r="I21" s="111">
        <f t="shared" si="8"/>
        <v>0</v>
      </c>
      <c r="J21" s="111">
        <v>5</v>
      </c>
      <c r="K21" s="111">
        <f t="shared" si="11"/>
        <v>15</v>
      </c>
      <c r="L21" s="111">
        <f t="shared" si="12"/>
        <v>0</v>
      </c>
      <c r="M21" s="143" t="str">
        <f t="shared" si="0"/>
        <v>LOT</v>
      </c>
      <c r="N21" s="108">
        <f t="shared" si="1"/>
        <v>5</v>
      </c>
      <c r="O21" s="321">
        <f t="shared" si="2"/>
        <v>967.5</v>
      </c>
      <c r="P21" s="322"/>
      <c r="Q21" s="321">
        <f t="shared" si="9"/>
        <v>3870</v>
      </c>
      <c r="R21" s="173">
        <f>IF(ISNUMBER(VLOOKUP(E21,InteresPres!$B$2:$W$14,Prestaciones!C21-1997+2,0)),VLOOKUP(E21,InteresPres!$B$2:$W$14,Prestaciones!C21-1997+2,0),"0")/100</f>
        <v>0.16390000000000002</v>
      </c>
      <c r="S21" s="323">
        <f t="shared" si="3"/>
        <v>52.857750000000003</v>
      </c>
      <c r="T21" s="323">
        <f t="shared" si="10"/>
        <v>130.58025000000001</v>
      </c>
      <c r="U21" s="5"/>
    </row>
    <row r="22" spans="2:21" x14ac:dyDescent="0.25">
      <c r="B22" s="4"/>
      <c r="C22" s="108">
        <f t="shared" si="4"/>
        <v>2011</v>
      </c>
      <c r="D22" s="109">
        <f t="shared" si="5"/>
        <v>11</v>
      </c>
      <c r="E22" s="110" t="str">
        <f>VLOOKUP(D22,FECHAS!$A$3:$B$14,2,0)</f>
        <v>Noviembre</v>
      </c>
      <c r="F22" s="320">
        <v>5805</v>
      </c>
      <c r="G22" s="108">
        <f t="shared" si="6"/>
        <v>0</v>
      </c>
      <c r="H22" s="108">
        <f t="shared" si="7"/>
        <v>8</v>
      </c>
      <c r="I22" s="111">
        <f t="shared" si="8"/>
        <v>0</v>
      </c>
      <c r="J22" s="111">
        <v>5</v>
      </c>
      <c r="K22" s="111">
        <f t="shared" si="11"/>
        <v>0</v>
      </c>
      <c r="L22" s="111">
        <f t="shared" si="12"/>
        <v>0</v>
      </c>
      <c r="M22" s="143" t="str">
        <f t="shared" si="0"/>
        <v>LOT</v>
      </c>
      <c r="N22" s="108">
        <f t="shared" si="1"/>
        <v>5</v>
      </c>
      <c r="O22" s="321">
        <f t="shared" si="2"/>
        <v>967.5</v>
      </c>
      <c r="P22" s="322"/>
      <c r="Q22" s="321">
        <f t="shared" si="9"/>
        <v>4837.5</v>
      </c>
      <c r="R22" s="173">
        <f>IF(ISNUMBER(VLOOKUP(E22,InteresPres!$B$2:$W$14,Prestaciones!C22-1997+2,0)),VLOOKUP(E22,InteresPres!$B$2:$W$14,Prestaciones!C22-1997+2,0),"0")/100</f>
        <v>0.15429999999999999</v>
      </c>
      <c r="S22" s="323">
        <f t="shared" si="3"/>
        <v>62.202187499999994</v>
      </c>
      <c r="T22" s="323">
        <f t="shared" si="10"/>
        <v>192.78243750000001</v>
      </c>
      <c r="U22" s="5"/>
    </row>
    <row r="23" spans="2:21" x14ac:dyDescent="0.25">
      <c r="B23" s="4"/>
      <c r="C23" s="108">
        <f t="shared" si="4"/>
        <v>2011</v>
      </c>
      <c r="D23" s="109">
        <f t="shared" si="5"/>
        <v>12</v>
      </c>
      <c r="E23" s="110" t="str">
        <f>VLOOKUP(D23,FECHAS!$A$3:$B$14,2,0)</f>
        <v>Diciembre</v>
      </c>
      <c r="F23" s="320">
        <v>5805</v>
      </c>
      <c r="G23" s="108">
        <f t="shared" si="6"/>
        <v>0</v>
      </c>
      <c r="H23" s="108">
        <f t="shared" si="7"/>
        <v>9</v>
      </c>
      <c r="I23" s="111">
        <f t="shared" si="8"/>
        <v>0</v>
      </c>
      <c r="J23" s="111">
        <v>5</v>
      </c>
      <c r="K23" s="111">
        <f t="shared" si="11"/>
        <v>0</v>
      </c>
      <c r="L23" s="111">
        <f t="shared" si="12"/>
        <v>0</v>
      </c>
      <c r="M23" s="143" t="str">
        <f t="shared" si="0"/>
        <v>LOT</v>
      </c>
      <c r="N23" s="108">
        <f t="shared" si="1"/>
        <v>5</v>
      </c>
      <c r="O23" s="321">
        <f t="shared" si="2"/>
        <v>967.5</v>
      </c>
      <c r="P23" s="322"/>
      <c r="Q23" s="321">
        <f t="shared" si="9"/>
        <v>5805</v>
      </c>
      <c r="R23" s="173">
        <f>IF(ISNUMBER(VLOOKUP(E23,InteresPres!$B$2:$W$14,Prestaciones!C23-1997+2,0)),VLOOKUP(E23,InteresPres!$B$2:$W$14,Prestaciones!C23-1997+2,0),"0")/100</f>
        <v>0.15029999999999999</v>
      </c>
      <c r="S23" s="323">
        <f t="shared" si="3"/>
        <v>72.707624999999993</v>
      </c>
      <c r="T23" s="323">
        <f t="shared" si="10"/>
        <v>265.49006250000002</v>
      </c>
      <c r="U23" s="5"/>
    </row>
    <row r="24" spans="2:21" x14ac:dyDescent="0.25">
      <c r="B24" s="4"/>
      <c r="C24" s="108">
        <f t="shared" si="4"/>
        <v>2012</v>
      </c>
      <c r="D24" s="109">
        <f t="shared" si="5"/>
        <v>1</v>
      </c>
      <c r="E24" s="110" t="str">
        <f>VLOOKUP(D24,FECHAS!$A$3:$B$14,2,0)</f>
        <v>Enero</v>
      </c>
      <c r="F24" s="320">
        <v>5805</v>
      </c>
      <c r="G24" s="108">
        <f t="shared" si="6"/>
        <v>0</v>
      </c>
      <c r="H24" s="108">
        <f t="shared" si="7"/>
        <v>10</v>
      </c>
      <c r="I24" s="111">
        <f t="shared" si="8"/>
        <v>0</v>
      </c>
      <c r="J24" s="111">
        <v>5</v>
      </c>
      <c r="K24" s="111">
        <f t="shared" si="11"/>
        <v>15</v>
      </c>
      <c r="L24" s="111">
        <f t="shared" si="12"/>
        <v>0</v>
      </c>
      <c r="M24" s="143" t="str">
        <f t="shared" si="0"/>
        <v>LOT</v>
      </c>
      <c r="N24" s="108">
        <f t="shared" si="1"/>
        <v>5</v>
      </c>
      <c r="O24" s="321">
        <f t="shared" si="2"/>
        <v>967.5</v>
      </c>
      <c r="P24" s="322"/>
      <c r="Q24" s="321">
        <f t="shared" si="9"/>
        <v>6772.5</v>
      </c>
      <c r="R24" s="173">
        <f>IF(ISNUMBER(VLOOKUP(E24,InteresPres!$B$2:$W$14,Prestaciones!C24-1997+2,0)),VLOOKUP(E24,InteresPres!$B$2:$W$14,Prestaciones!C24-1997+2,0),"0")/100</f>
        <v>0.157</v>
      </c>
      <c r="S24" s="323">
        <f t="shared" si="3"/>
        <v>88.606875000000002</v>
      </c>
      <c r="T24" s="323">
        <f t="shared" si="10"/>
        <v>354.09693750000002</v>
      </c>
      <c r="U24" s="5"/>
    </row>
    <row r="25" spans="2:21" x14ac:dyDescent="0.25">
      <c r="B25" s="4"/>
      <c r="C25" s="108">
        <f t="shared" si="4"/>
        <v>2012</v>
      </c>
      <c r="D25" s="109">
        <f t="shared" si="5"/>
        <v>2</v>
      </c>
      <c r="E25" s="110" t="str">
        <f>VLOOKUP(D25,FECHAS!$A$3:$B$14,2,0)</f>
        <v>Febrero</v>
      </c>
      <c r="F25" s="320">
        <v>5805</v>
      </c>
      <c r="G25" s="108">
        <f t="shared" si="6"/>
        <v>0</v>
      </c>
      <c r="H25" s="108">
        <f t="shared" si="7"/>
        <v>11</v>
      </c>
      <c r="I25" s="111">
        <f t="shared" si="8"/>
        <v>0</v>
      </c>
      <c r="J25" s="111">
        <v>5</v>
      </c>
      <c r="K25" s="111">
        <f t="shared" si="11"/>
        <v>0</v>
      </c>
      <c r="L25" s="111">
        <f t="shared" si="12"/>
        <v>0</v>
      </c>
      <c r="M25" s="143" t="str">
        <f t="shared" si="0"/>
        <v>LOT</v>
      </c>
      <c r="N25" s="108">
        <f t="shared" si="1"/>
        <v>5</v>
      </c>
      <c r="O25" s="321">
        <f t="shared" si="2"/>
        <v>967.5</v>
      </c>
      <c r="P25" s="322"/>
      <c r="Q25" s="321">
        <f t="shared" si="9"/>
        <v>7740</v>
      </c>
      <c r="R25" s="173">
        <f>IF(ISNUMBER(VLOOKUP(E25,InteresPres!$B$2:$W$14,Prestaciones!C25-1997+2,0)),VLOOKUP(E25,InteresPres!$B$2:$W$14,Prestaciones!C25-1997+2,0),"0")/100</f>
        <v>0.15179999999999999</v>
      </c>
      <c r="S25" s="323">
        <f t="shared" si="3"/>
        <v>97.911000000000001</v>
      </c>
      <c r="T25" s="323">
        <f t="shared" si="10"/>
        <v>452.00793750000003</v>
      </c>
      <c r="U25" s="5"/>
    </row>
    <row r="26" spans="2:21" x14ac:dyDescent="0.25">
      <c r="B26" s="4"/>
      <c r="C26" s="108">
        <f t="shared" si="4"/>
        <v>2012</v>
      </c>
      <c r="D26" s="109">
        <f t="shared" si="5"/>
        <v>3</v>
      </c>
      <c r="E26" s="110" t="str">
        <f>VLOOKUP(D26,FECHAS!$A$3:$B$14,2,0)</f>
        <v>Marzo</v>
      </c>
      <c r="F26" s="320">
        <v>5805</v>
      </c>
      <c r="G26" s="108">
        <f t="shared" si="6"/>
        <v>1</v>
      </c>
      <c r="H26" s="108">
        <f t="shared" si="7"/>
        <v>0</v>
      </c>
      <c r="I26" s="111">
        <f t="shared" si="8"/>
        <v>0</v>
      </c>
      <c r="J26" s="111">
        <v>5</v>
      </c>
      <c r="K26" s="111">
        <f t="shared" si="11"/>
        <v>0</v>
      </c>
      <c r="L26" s="111">
        <f t="shared" si="12"/>
        <v>0</v>
      </c>
      <c r="M26" s="143" t="str">
        <f t="shared" si="0"/>
        <v>LOT</v>
      </c>
      <c r="N26" s="108">
        <f t="shared" si="1"/>
        <v>5</v>
      </c>
      <c r="O26" s="321">
        <f t="shared" si="2"/>
        <v>967.5</v>
      </c>
      <c r="P26" s="322">
        <v>-6000</v>
      </c>
      <c r="Q26" s="321">
        <f t="shared" si="9"/>
        <v>2707.5</v>
      </c>
      <c r="R26" s="173">
        <f>IF(ISNUMBER(VLOOKUP(E26,InteresPres!$B$2:$W$14,Prestaciones!C26-1997+2,0)),VLOOKUP(E26,InteresPres!$B$2:$W$14,Prestaciones!C26-1997+2,0),"0")/100</f>
        <v>0.1497</v>
      </c>
      <c r="S26" s="323">
        <f t="shared" si="3"/>
        <v>33.776062500000002</v>
      </c>
      <c r="T26" s="323">
        <f t="shared" si="10"/>
        <v>485.78400000000005</v>
      </c>
      <c r="U26" s="5"/>
    </row>
    <row r="27" spans="2:21" x14ac:dyDescent="0.25">
      <c r="B27" s="4"/>
      <c r="C27" s="108">
        <f t="shared" si="4"/>
        <v>2012</v>
      </c>
      <c r="D27" s="109">
        <f t="shared" si="5"/>
        <v>4</v>
      </c>
      <c r="E27" s="110" t="str">
        <f>VLOOKUP(D27,FECHAS!$A$3:$B$14,2,0)</f>
        <v>Abril</v>
      </c>
      <c r="F27" s="320">
        <v>5805</v>
      </c>
      <c r="G27" s="108">
        <f t="shared" si="6"/>
        <v>1</v>
      </c>
      <c r="H27" s="108">
        <f t="shared" si="7"/>
        <v>1</v>
      </c>
      <c r="I27" s="111">
        <f t="shared" si="8"/>
        <v>0</v>
      </c>
      <c r="J27" s="111">
        <v>5</v>
      </c>
      <c r="K27" s="111">
        <f t="shared" si="11"/>
        <v>15</v>
      </c>
      <c r="L27" s="111">
        <f t="shared" si="12"/>
        <v>0</v>
      </c>
      <c r="M27" s="143" t="str">
        <f t="shared" si="0"/>
        <v>LOT</v>
      </c>
      <c r="N27" s="108">
        <f t="shared" si="1"/>
        <v>5</v>
      </c>
      <c r="O27" s="321">
        <f t="shared" si="2"/>
        <v>967.5</v>
      </c>
      <c r="P27" s="322"/>
      <c r="Q27" s="321">
        <f t="shared" si="9"/>
        <v>3675</v>
      </c>
      <c r="R27" s="173">
        <f>IF(ISNUMBER(VLOOKUP(E27,InteresPres!$B$2:$W$14,Prestaciones!C27-1997+2,0)),VLOOKUP(E27,InteresPres!$B$2:$W$14,Prestaciones!C27-1997+2,0),"0")/100</f>
        <v>0.15410000000000001</v>
      </c>
      <c r="S27" s="323">
        <f t="shared" si="3"/>
        <v>47.193125000000002</v>
      </c>
      <c r="T27" s="323">
        <f t="shared" si="10"/>
        <v>532.977125</v>
      </c>
      <c r="U27" s="5"/>
    </row>
    <row r="28" spans="2:21" x14ac:dyDescent="0.25">
      <c r="B28" s="4"/>
      <c r="C28" s="108">
        <f t="shared" si="4"/>
        <v>2012</v>
      </c>
      <c r="D28" s="109">
        <f t="shared" si="5"/>
        <v>5</v>
      </c>
      <c r="E28" s="110" t="str">
        <f>VLOOKUP(D28,FECHAS!$A$3:$B$14,2,0)</f>
        <v>Mayo</v>
      </c>
      <c r="F28" s="320">
        <v>5805</v>
      </c>
      <c r="G28" s="108">
        <f t="shared" si="6"/>
        <v>1</v>
      </c>
      <c r="H28" s="108">
        <f t="shared" si="7"/>
        <v>2</v>
      </c>
      <c r="I28" s="111">
        <f t="shared" si="8"/>
        <v>0</v>
      </c>
      <c r="J28" s="111">
        <v>5</v>
      </c>
      <c r="K28" s="111">
        <f t="shared" si="11"/>
        <v>0</v>
      </c>
      <c r="L28" s="111">
        <f t="shared" si="12"/>
        <v>0</v>
      </c>
      <c r="M28" s="143" t="str">
        <f t="shared" si="0"/>
        <v>LOTTT</v>
      </c>
      <c r="N28" s="108">
        <f t="shared" si="1"/>
        <v>0</v>
      </c>
      <c r="O28" s="321">
        <f t="shared" si="2"/>
        <v>0</v>
      </c>
      <c r="P28" s="322"/>
      <c r="Q28" s="321">
        <f t="shared" si="9"/>
        <v>3675</v>
      </c>
      <c r="R28" s="173">
        <f>IF(ISNUMBER(VLOOKUP(E28,InteresPres!$B$2:$W$14,Prestaciones!C28-1997+2,0)),VLOOKUP(E28,InteresPres!$B$2:$W$14,Prestaciones!C28-1997+2,0),"0")/100</f>
        <v>0.15629999999999999</v>
      </c>
      <c r="S28" s="323">
        <f t="shared" si="3"/>
        <v>47.866875</v>
      </c>
      <c r="T28" s="323">
        <f t="shared" si="10"/>
        <v>580.84400000000005</v>
      </c>
      <c r="U28" s="5"/>
    </row>
    <row r="29" spans="2:21" x14ac:dyDescent="0.25">
      <c r="B29" s="4"/>
      <c r="C29" s="108">
        <f t="shared" si="4"/>
        <v>2012</v>
      </c>
      <c r="D29" s="109">
        <f t="shared" si="5"/>
        <v>6</v>
      </c>
      <c r="E29" s="110" t="str">
        <f>VLOOKUP(D29,FECHAS!$A$3:$B$14,2,0)</f>
        <v>Junio</v>
      </c>
      <c r="F29" s="320">
        <v>5805</v>
      </c>
      <c r="G29" s="108">
        <f t="shared" si="6"/>
        <v>1</v>
      </c>
      <c r="H29" s="108">
        <f t="shared" si="7"/>
        <v>3</v>
      </c>
      <c r="I29" s="111">
        <f t="shared" si="8"/>
        <v>0</v>
      </c>
      <c r="J29" s="111">
        <v>5</v>
      </c>
      <c r="K29" s="111">
        <f t="shared" si="11"/>
        <v>0</v>
      </c>
      <c r="L29" s="111">
        <v>0</v>
      </c>
      <c r="M29" s="143" t="str">
        <f t="shared" si="0"/>
        <v>LOTTT</v>
      </c>
      <c r="N29" s="108">
        <f t="shared" si="1"/>
        <v>0</v>
      </c>
      <c r="O29" s="321">
        <f t="shared" si="2"/>
        <v>0</v>
      </c>
      <c r="P29" s="322"/>
      <c r="Q29" s="321">
        <f t="shared" si="9"/>
        <v>3675</v>
      </c>
      <c r="R29" s="173">
        <f>IF(ISNUMBER(VLOOKUP(E29,InteresPres!$B$2:$W$14,Prestaciones!C29-1997+2,0)),VLOOKUP(E29,InteresPres!$B$2:$W$14,Prestaciones!C29-1997+2,0),"0")/100</f>
        <v>0.15380000000000002</v>
      </c>
      <c r="S29" s="323">
        <f t="shared" si="3"/>
        <v>47.101250000000007</v>
      </c>
      <c r="T29" s="323">
        <f t="shared" si="10"/>
        <v>627.9452500000001</v>
      </c>
      <c r="U29" s="5"/>
    </row>
    <row r="30" spans="2:21" x14ac:dyDescent="0.25">
      <c r="B30" s="4"/>
      <c r="C30" s="108">
        <f t="shared" si="4"/>
        <v>2012</v>
      </c>
      <c r="D30" s="109">
        <f t="shared" si="5"/>
        <v>7</v>
      </c>
      <c r="E30" s="110" t="str">
        <f>VLOOKUP(D30,FECHAS!$A$3:$B$14,2,0)</f>
        <v>Julio</v>
      </c>
      <c r="F30" s="319">
        <v>7224</v>
      </c>
      <c r="G30" s="108">
        <f t="shared" si="6"/>
        <v>1</v>
      </c>
      <c r="H30" s="108">
        <f t="shared" si="7"/>
        <v>4</v>
      </c>
      <c r="I30" s="111">
        <f t="shared" si="8"/>
        <v>0</v>
      </c>
      <c r="J30" s="111">
        <v>5</v>
      </c>
      <c r="K30" s="111">
        <f t="shared" si="11"/>
        <v>15</v>
      </c>
      <c r="L30" s="111">
        <f t="shared" si="12"/>
        <v>0</v>
      </c>
      <c r="M30" s="143" t="str">
        <f t="shared" si="0"/>
        <v>LOTTT</v>
      </c>
      <c r="N30" s="108">
        <f t="shared" si="1"/>
        <v>15</v>
      </c>
      <c r="O30" s="321">
        <f t="shared" si="2"/>
        <v>3612</v>
      </c>
      <c r="P30" s="322"/>
      <c r="Q30" s="321">
        <f t="shared" si="9"/>
        <v>7287</v>
      </c>
      <c r="R30" s="173">
        <f>IF(ISNUMBER(VLOOKUP(E30,InteresPres!$B$2:$W$14,Prestaciones!C30-1997+2,0)),VLOOKUP(E30,InteresPres!$B$2:$W$14,Prestaciones!C30-1997+2,0),"0")/100</f>
        <v>0.1535</v>
      </c>
      <c r="S30" s="323">
        <f t="shared" si="3"/>
        <v>93.212874999999997</v>
      </c>
      <c r="T30" s="323">
        <f t="shared" si="10"/>
        <v>721.15812500000015</v>
      </c>
      <c r="U30" s="5"/>
    </row>
    <row r="31" spans="2:21" x14ac:dyDescent="0.25">
      <c r="B31" s="4"/>
      <c r="C31" s="108">
        <f t="shared" si="4"/>
        <v>2012</v>
      </c>
      <c r="D31" s="109">
        <f t="shared" si="5"/>
        <v>8</v>
      </c>
      <c r="E31" s="110" t="str">
        <f>VLOOKUP(D31,FECHAS!$A$3:$B$14,2,0)</f>
        <v>Agosto</v>
      </c>
      <c r="F31" s="319">
        <v>7998</v>
      </c>
      <c r="G31" s="108">
        <f t="shared" si="6"/>
        <v>1</v>
      </c>
      <c r="H31" s="108">
        <f t="shared" si="7"/>
        <v>5</v>
      </c>
      <c r="I31" s="111">
        <f t="shared" si="8"/>
        <v>0</v>
      </c>
      <c r="J31" s="111">
        <v>5</v>
      </c>
      <c r="K31" s="111">
        <f t="shared" si="11"/>
        <v>0</v>
      </c>
      <c r="L31" s="111">
        <f t="shared" si="12"/>
        <v>0</v>
      </c>
      <c r="M31" s="143" t="str">
        <f t="shared" si="0"/>
        <v>LOTTT</v>
      </c>
      <c r="N31" s="108">
        <f t="shared" si="1"/>
        <v>0</v>
      </c>
      <c r="O31" s="321">
        <f t="shared" si="2"/>
        <v>0</v>
      </c>
      <c r="P31" s="322"/>
      <c r="Q31" s="321">
        <f t="shared" si="9"/>
        <v>7287</v>
      </c>
      <c r="R31" s="173">
        <f>IF(ISNUMBER(VLOOKUP(E31,InteresPres!$B$2:$W$14,Prestaciones!C31-1997+2,0)),VLOOKUP(E31,InteresPres!$B$2:$W$14,Prestaciones!C31-1997+2,0),"0")/100</f>
        <v>0.15570000000000001</v>
      </c>
      <c r="S31" s="323">
        <f t="shared" si="3"/>
        <v>94.548825000000008</v>
      </c>
      <c r="T31" s="323">
        <f t="shared" si="10"/>
        <v>815.70695000000012</v>
      </c>
      <c r="U31" s="5"/>
    </row>
    <row r="32" spans="2:21" x14ac:dyDescent="0.25">
      <c r="B32" s="4"/>
      <c r="C32" s="108">
        <f t="shared" si="4"/>
        <v>2012</v>
      </c>
      <c r="D32" s="109">
        <f t="shared" si="5"/>
        <v>9</v>
      </c>
      <c r="E32" s="110" t="str">
        <f>VLOOKUP(D32,FECHAS!$A$3:$B$14,2,0)</f>
        <v>Septiembre</v>
      </c>
      <c r="F32" s="320">
        <v>7998</v>
      </c>
      <c r="G32" s="108">
        <f t="shared" si="6"/>
        <v>1</v>
      </c>
      <c r="H32" s="108">
        <f t="shared" si="7"/>
        <v>6</v>
      </c>
      <c r="I32" s="111">
        <f t="shared" si="8"/>
        <v>0</v>
      </c>
      <c r="J32" s="111">
        <v>5</v>
      </c>
      <c r="K32" s="111">
        <f t="shared" si="11"/>
        <v>0</v>
      </c>
      <c r="L32" s="111">
        <f t="shared" si="12"/>
        <v>0</v>
      </c>
      <c r="M32" s="143" t="str">
        <f t="shared" si="0"/>
        <v>LOTTT</v>
      </c>
      <c r="N32" s="108">
        <f t="shared" si="1"/>
        <v>0</v>
      </c>
      <c r="O32" s="321">
        <f t="shared" si="2"/>
        <v>0</v>
      </c>
      <c r="P32" s="322"/>
      <c r="Q32" s="321">
        <f t="shared" si="9"/>
        <v>7287</v>
      </c>
      <c r="R32" s="173">
        <f>IF(ISNUMBER(VLOOKUP(E32,InteresPres!$B$2:$W$14,Prestaciones!C32-1997+2,0)),VLOOKUP(E32,InteresPres!$B$2:$W$14,Prestaciones!C32-1997+2,0),"0")/100</f>
        <v>0.1565</v>
      </c>
      <c r="S32" s="323">
        <f t="shared" si="3"/>
        <v>95.034625000000005</v>
      </c>
      <c r="T32" s="323">
        <f t="shared" si="10"/>
        <v>910.74157500000013</v>
      </c>
      <c r="U32" s="5"/>
    </row>
    <row r="33" spans="2:21" x14ac:dyDescent="0.25">
      <c r="B33" s="4"/>
      <c r="C33" s="108">
        <f t="shared" si="4"/>
        <v>2012</v>
      </c>
      <c r="D33" s="109">
        <f t="shared" si="5"/>
        <v>10</v>
      </c>
      <c r="E33" s="110" t="str">
        <f>VLOOKUP(D33,FECHAS!$A$3:$B$14,2,0)</f>
        <v>Octubre</v>
      </c>
      <c r="F33" s="320">
        <v>7998</v>
      </c>
      <c r="G33" s="108">
        <f t="shared" si="6"/>
        <v>1</v>
      </c>
      <c r="H33" s="108">
        <f t="shared" si="7"/>
        <v>7</v>
      </c>
      <c r="I33" s="111">
        <f t="shared" si="8"/>
        <v>0</v>
      </c>
      <c r="J33" s="111">
        <v>5</v>
      </c>
      <c r="K33" s="111">
        <f t="shared" si="11"/>
        <v>15</v>
      </c>
      <c r="L33" s="111">
        <f t="shared" si="12"/>
        <v>0</v>
      </c>
      <c r="M33" s="143" t="str">
        <f t="shared" si="0"/>
        <v>LOTTT</v>
      </c>
      <c r="N33" s="108">
        <f t="shared" si="1"/>
        <v>15</v>
      </c>
      <c r="O33" s="321">
        <f t="shared" si="2"/>
        <v>3999.0000000000005</v>
      </c>
      <c r="P33" s="322"/>
      <c r="Q33" s="321">
        <f t="shared" si="9"/>
        <v>11286</v>
      </c>
      <c r="R33" s="173">
        <f>IF(ISNUMBER(VLOOKUP(E33,InteresPres!$B$2:$W$14,Prestaciones!C33-1997+2,0)),VLOOKUP(E33,InteresPres!$B$2:$W$14,Prestaciones!C33-1997+2,0),"0")/100</f>
        <v>0.155</v>
      </c>
      <c r="S33" s="323">
        <f t="shared" si="3"/>
        <v>145.7775</v>
      </c>
      <c r="T33" s="323">
        <f t="shared" si="10"/>
        <v>1056.5190750000002</v>
      </c>
      <c r="U33" s="5"/>
    </row>
    <row r="34" spans="2:21" x14ac:dyDescent="0.25">
      <c r="B34" s="4"/>
      <c r="C34" s="108">
        <f t="shared" si="4"/>
        <v>2012</v>
      </c>
      <c r="D34" s="109">
        <f t="shared" si="5"/>
        <v>11</v>
      </c>
      <c r="E34" s="110" t="str">
        <f>VLOOKUP(D34,FECHAS!$A$3:$B$14,2,0)</f>
        <v>Noviembre</v>
      </c>
      <c r="F34" s="320">
        <v>7998</v>
      </c>
      <c r="G34" s="108">
        <f t="shared" si="6"/>
        <v>1</v>
      </c>
      <c r="H34" s="108">
        <f t="shared" si="7"/>
        <v>8</v>
      </c>
      <c r="I34" s="111">
        <f t="shared" si="8"/>
        <v>0</v>
      </c>
      <c r="J34" s="111">
        <v>5</v>
      </c>
      <c r="K34" s="111">
        <f t="shared" si="11"/>
        <v>0</v>
      </c>
      <c r="L34" s="111">
        <f t="shared" si="12"/>
        <v>0</v>
      </c>
      <c r="M34" s="143" t="str">
        <f t="shared" si="0"/>
        <v>LOTTT</v>
      </c>
      <c r="N34" s="108">
        <f t="shared" si="1"/>
        <v>0</v>
      </c>
      <c r="O34" s="321">
        <f t="shared" si="2"/>
        <v>0</v>
      </c>
      <c r="P34" s="322">
        <v>-8000</v>
      </c>
      <c r="Q34" s="321">
        <f t="shared" si="9"/>
        <v>3286</v>
      </c>
      <c r="R34" s="173">
        <f>IF(ISNUMBER(VLOOKUP(E34,InteresPres!$B$2:$W$14,Prestaciones!C34-1997+2,0)),VLOOKUP(E34,InteresPres!$B$2:$W$14,Prestaciones!C34-1997+2,0),"0")/100</f>
        <v>0.15289999999999998</v>
      </c>
      <c r="S34" s="323">
        <f t="shared" si="3"/>
        <v>41.869116666666663</v>
      </c>
      <c r="T34" s="323">
        <f t="shared" si="10"/>
        <v>1098.3881916666669</v>
      </c>
      <c r="U34" s="5"/>
    </row>
    <row r="35" spans="2:21" x14ac:dyDescent="0.25">
      <c r="B35" s="4"/>
      <c r="C35" s="108">
        <f t="shared" si="4"/>
        <v>2012</v>
      </c>
      <c r="D35" s="109">
        <f t="shared" si="5"/>
        <v>12</v>
      </c>
      <c r="E35" s="110" t="str">
        <f>VLOOKUP(D35,FECHAS!$A$3:$B$14,2,0)</f>
        <v>Diciembre</v>
      </c>
      <c r="F35" s="320">
        <v>7998</v>
      </c>
      <c r="G35" s="108">
        <f t="shared" si="6"/>
        <v>1</v>
      </c>
      <c r="H35" s="108">
        <f t="shared" si="7"/>
        <v>9</v>
      </c>
      <c r="I35" s="111">
        <f t="shared" si="8"/>
        <v>0</v>
      </c>
      <c r="J35" s="111">
        <v>5</v>
      </c>
      <c r="K35" s="111">
        <f t="shared" si="11"/>
        <v>0</v>
      </c>
      <c r="L35" s="111">
        <f t="shared" si="12"/>
        <v>0</v>
      </c>
      <c r="M35" s="143" t="str">
        <f t="shared" si="0"/>
        <v>LOTTT</v>
      </c>
      <c r="N35" s="108">
        <f t="shared" si="1"/>
        <v>0</v>
      </c>
      <c r="O35" s="321">
        <f t="shared" si="2"/>
        <v>0</v>
      </c>
      <c r="P35" s="322"/>
      <c r="Q35" s="321">
        <f t="shared" si="9"/>
        <v>3286</v>
      </c>
      <c r="R35" s="173">
        <f>IF(ISNUMBER(VLOOKUP(E35,InteresPres!$B$2:$W$14,Prestaciones!C35-1997+2,0)),VLOOKUP(E35,InteresPres!$B$2:$W$14,Prestaciones!C35-1997+2,0),"0")/100</f>
        <v>0.15060000000000001</v>
      </c>
      <c r="S35" s="323">
        <f t="shared" si="3"/>
        <v>41.2393</v>
      </c>
      <c r="T35" s="323">
        <f t="shared" si="10"/>
        <v>1139.6274916666669</v>
      </c>
      <c r="U35" s="5"/>
    </row>
    <row r="36" spans="2:21" x14ac:dyDescent="0.25">
      <c r="B36" s="4"/>
      <c r="C36" s="108">
        <f t="shared" si="4"/>
        <v>2013</v>
      </c>
      <c r="D36" s="109">
        <f t="shared" si="5"/>
        <v>1</v>
      </c>
      <c r="E36" s="110" t="str">
        <f>VLOOKUP(D36,FECHAS!$A$3:$B$14,2,0)</f>
        <v>Enero</v>
      </c>
      <c r="F36" s="320">
        <v>7998</v>
      </c>
      <c r="G36" s="108">
        <f t="shared" si="6"/>
        <v>1</v>
      </c>
      <c r="H36" s="108">
        <f t="shared" si="7"/>
        <v>10</v>
      </c>
      <c r="I36" s="111">
        <f t="shared" si="8"/>
        <v>0</v>
      </c>
      <c r="J36" s="111">
        <v>5</v>
      </c>
      <c r="K36" s="111">
        <f t="shared" si="11"/>
        <v>15</v>
      </c>
      <c r="L36" s="111">
        <f t="shared" si="12"/>
        <v>0</v>
      </c>
      <c r="M36" s="143" t="str">
        <f t="shared" si="0"/>
        <v>LOTTT</v>
      </c>
      <c r="N36" s="108">
        <f t="shared" si="1"/>
        <v>15</v>
      </c>
      <c r="O36" s="321">
        <f t="shared" si="2"/>
        <v>3999.0000000000005</v>
      </c>
      <c r="P36" s="322"/>
      <c r="Q36" s="321">
        <f t="shared" si="9"/>
        <v>7285</v>
      </c>
      <c r="R36" s="173">
        <f>IF(ISNUMBER(VLOOKUP(E36,InteresPres!$B$2:$W$14,Prestaciones!C36-1997+2,0)),VLOOKUP(E36,InteresPres!$B$2:$W$14,Prestaciones!C36-1997+2,0),"0")/100</f>
        <v>0.14660000000000001</v>
      </c>
      <c r="S36" s="323">
        <f t="shared" si="3"/>
        <v>88.998416666666671</v>
      </c>
      <c r="T36" s="323">
        <f t="shared" si="10"/>
        <v>1228.6259083333334</v>
      </c>
      <c r="U36" s="5"/>
    </row>
    <row r="37" spans="2:21" x14ac:dyDescent="0.25">
      <c r="B37" s="4"/>
      <c r="C37" s="108">
        <f t="shared" si="4"/>
        <v>2013</v>
      </c>
      <c r="D37" s="109">
        <f t="shared" si="5"/>
        <v>2</v>
      </c>
      <c r="E37" s="110" t="str">
        <f>VLOOKUP(D37,FECHAS!$A$3:$B$14,2,0)</f>
        <v>Febrero</v>
      </c>
      <c r="F37" s="320">
        <v>7998</v>
      </c>
      <c r="G37" s="108">
        <f t="shared" si="6"/>
        <v>1</v>
      </c>
      <c r="H37" s="108">
        <f t="shared" si="7"/>
        <v>11</v>
      </c>
      <c r="I37" s="111">
        <f t="shared" si="8"/>
        <v>0</v>
      </c>
      <c r="J37" s="111">
        <v>5</v>
      </c>
      <c r="K37" s="111">
        <f t="shared" si="11"/>
        <v>0</v>
      </c>
      <c r="L37" s="111">
        <f t="shared" si="12"/>
        <v>0</v>
      </c>
      <c r="M37" s="143" t="str">
        <f t="shared" si="0"/>
        <v>LOTTT</v>
      </c>
      <c r="N37" s="108">
        <f t="shared" si="1"/>
        <v>0</v>
      </c>
      <c r="O37" s="321">
        <f t="shared" si="2"/>
        <v>0</v>
      </c>
      <c r="P37" s="322"/>
      <c r="Q37" s="321">
        <f t="shared" si="9"/>
        <v>7285</v>
      </c>
      <c r="R37" s="173">
        <f>IF(ISNUMBER(VLOOKUP(E37,InteresPres!$B$2:$W$14,Prestaciones!C37-1997+2,0)),VLOOKUP(E37,InteresPres!$B$2:$W$14,Prestaciones!C37-1997+2,0),"0")/100</f>
        <v>0.1547</v>
      </c>
      <c r="S37" s="323">
        <f t="shared" si="3"/>
        <v>93.915791666666678</v>
      </c>
      <c r="T37" s="323">
        <f t="shared" si="10"/>
        <v>1322.5417000000002</v>
      </c>
      <c r="U37" s="5"/>
    </row>
    <row r="38" spans="2:21" x14ac:dyDescent="0.25">
      <c r="B38" s="4"/>
      <c r="C38" s="108">
        <f t="shared" si="4"/>
        <v>2013</v>
      </c>
      <c r="D38" s="109">
        <f t="shared" si="5"/>
        <v>3</v>
      </c>
      <c r="E38" s="110" t="str">
        <f>VLOOKUP(D38,FECHAS!$A$3:$B$14,2,0)</f>
        <v>Marzo</v>
      </c>
      <c r="F38" s="320">
        <v>7998</v>
      </c>
      <c r="G38" s="108">
        <f t="shared" si="6"/>
        <v>2</v>
      </c>
      <c r="H38" s="108">
        <f t="shared" si="7"/>
        <v>0</v>
      </c>
      <c r="I38" s="111">
        <f t="shared" si="8"/>
        <v>2</v>
      </c>
      <c r="J38" s="111">
        <v>5</v>
      </c>
      <c r="K38" s="111">
        <f t="shared" si="11"/>
        <v>0</v>
      </c>
      <c r="L38" s="111">
        <f t="shared" si="12"/>
        <v>0</v>
      </c>
      <c r="M38" s="143" t="str">
        <f t="shared" si="0"/>
        <v>LOTTT</v>
      </c>
      <c r="N38" s="108">
        <f t="shared" si="1"/>
        <v>2</v>
      </c>
      <c r="O38" s="321">
        <f t="shared" si="2"/>
        <v>533.20000000000005</v>
      </c>
      <c r="P38" s="322"/>
      <c r="Q38" s="321">
        <f t="shared" si="9"/>
        <v>7818.2</v>
      </c>
      <c r="R38" s="173">
        <f>IF(ISNUMBER(VLOOKUP(E38,InteresPres!$B$2:$W$14,Prestaciones!C38-1997+2,0)),VLOOKUP(E38,InteresPres!$B$2:$W$14,Prestaciones!C38-1997+2,0),"0")/100</f>
        <v>0.1489</v>
      </c>
      <c r="S38" s="323">
        <f t="shared" si="3"/>
        <v>97.010831666666661</v>
      </c>
      <c r="T38" s="323">
        <f t="shared" si="10"/>
        <v>1419.5525316666669</v>
      </c>
      <c r="U38" s="5"/>
    </row>
    <row r="39" spans="2:21" x14ac:dyDescent="0.25">
      <c r="B39" s="4"/>
      <c r="C39" s="108">
        <f t="shared" si="4"/>
        <v>2013</v>
      </c>
      <c r="D39" s="109">
        <f t="shared" si="5"/>
        <v>4</v>
      </c>
      <c r="E39" s="110" t="str">
        <f>VLOOKUP(D39,FECHAS!$A$3:$B$14,2,0)</f>
        <v>Abril</v>
      </c>
      <c r="F39" s="320">
        <v>7998</v>
      </c>
      <c r="G39" s="108">
        <f t="shared" si="6"/>
        <v>2</v>
      </c>
      <c r="H39" s="108">
        <f t="shared" si="7"/>
        <v>1</v>
      </c>
      <c r="I39" s="111">
        <f t="shared" si="8"/>
        <v>0</v>
      </c>
      <c r="J39" s="111">
        <v>5</v>
      </c>
      <c r="K39" s="111">
        <f t="shared" si="11"/>
        <v>15</v>
      </c>
      <c r="L39" s="111">
        <f t="shared" si="12"/>
        <v>0</v>
      </c>
      <c r="M39" s="143" t="str">
        <f t="shared" si="0"/>
        <v>LOTTT</v>
      </c>
      <c r="N39" s="108">
        <f t="shared" si="1"/>
        <v>15</v>
      </c>
      <c r="O39" s="321">
        <f t="shared" si="2"/>
        <v>3999.0000000000005</v>
      </c>
      <c r="P39" s="322"/>
      <c r="Q39" s="321">
        <f t="shared" si="9"/>
        <v>11817.2</v>
      </c>
      <c r="R39" s="173">
        <f>IF(ISNUMBER(VLOOKUP(E39,InteresPres!$B$2:$W$14,Prestaciones!C39-1997+2,0)),VLOOKUP(E39,InteresPres!$B$2:$W$14,Prestaciones!C39-1997+2,0),"0")/100</f>
        <v>0.15090000000000001</v>
      </c>
      <c r="S39" s="323">
        <f t="shared" si="3"/>
        <v>148.60129000000003</v>
      </c>
      <c r="T39" s="323">
        <f t="shared" si="10"/>
        <v>1568.153821666667</v>
      </c>
      <c r="U39" s="5"/>
    </row>
    <row r="40" spans="2:21" x14ac:dyDescent="0.25">
      <c r="B40" s="4"/>
      <c r="C40" s="108">
        <f t="shared" si="4"/>
        <v>2013</v>
      </c>
      <c r="D40" s="109">
        <f t="shared" si="5"/>
        <v>5</v>
      </c>
      <c r="E40" s="110" t="str">
        <f>VLOOKUP(D40,FECHAS!$A$3:$B$14,2,0)</f>
        <v>Mayo</v>
      </c>
      <c r="F40" s="320">
        <v>7998</v>
      </c>
      <c r="G40" s="108">
        <f t="shared" si="6"/>
        <v>2</v>
      </c>
      <c r="H40" s="108">
        <f>IF(H39=11,0,H39+1)</f>
        <v>2</v>
      </c>
      <c r="I40" s="111">
        <f t="shared" si="8"/>
        <v>0</v>
      </c>
      <c r="J40" s="111">
        <v>5</v>
      </c>
      <c r="K40" s="111">
        <f t="shared" si="11"/>
        <v>0</v>
      </c>
      <c r="L40" s="111">
        <f t="shared" si="12"/>
        <v>0</v>
      </c>
      <c r="M40" s="143" t="str">
        <f t="shared" si="0"/>
        <v>LOTTT</v>
      </c>
      <c r="N40" s="108">
        <f t="shared" si="1"/>
        <v>0</v>
      </c>
      <c r="O40" s="321">
        <f t="shared" si="2"/>
        <v>0</v>
      </c>
      <c r="P40" s="322"/>
      <c r="Q40" s="321">
        <f t="shared" si="9"/>
        <v>11817.2</v>
      </c>
      <c r="R40" s="173">
        <f>IF(ISNUMBER(VLOOKUP(E40,InteresPres!$B$2:$W$14,Prestaciones!C40-1997+2,0)),VLOOKUP(E40,InteresPres!$B$2:$W$14,Prestaciones!C40-1997+2,0),"0")/100</f>
        <v>0.1507</v>
      </c>
      <c r="S40" s="323">
        <f t="shared" si="3"/>
        <v>148.40433666666667</v>
      </c>
      <c r="T40" s="323">
        <f t="shared" si="10"/>
        <v>1716.5581583333337</v>
      </c>
      <c r="U40" s="5"/>
    </row>
    <row r="41" spans="2:21" x14ac:dyDescent="0.25">
      <c r="B41" s="4"/>
      <c r="C41" s="108">
        <f t="shared" si="4"/>
        <v>2013</v>
      </c>
      <c r="D41" s="109">
        <f t="shared" si="5"/>
        <v>6</v>
      </c>
      <c r="E41" s="110" t="str">
        <f>VLOOKUP(D41,FECHAS!$A$3:$B$14,2,0)</f>
        <v>Junio</v>
      </c>
      <c r="F41" s="320">
        <v>7998</v>
      </c>
      <c r="G41" s="108">
        <f t="shared" si="6"/>
        <v>2</v>
      </c>
      <c r="H41" s="108">
        <f t="shared" si="7"/>
        <v>3</v>
      </c>
      <c r="I41" s="111">
        <f t="shared" si="8"/>
        <v>0</v>
      </c>
      <c r="J41" s="111">
        <v>5</v>
      </c>
      <c r="K41" s="111">
        <f t="shared" si="11"/>
        <v>0</v>
      </c>
      <c r="L41" s="111">
        <f t="shared" si="12"/>
        <v>0</v>
      </c>
      <c r="M41" s="143" t="str">
        <f t="shared" si="0"/>
        <v>LOTTT</v>
      </c>
      <c r="N41" s="108">
        <f t="shared" si="1"/>
        <v>0</v>
      </c>
      <c r="O41" s="321">
        <f t="shared" si="2"/>
        <v>0</v>
      </c>
      <c r="P41" s="322"/>
      <c r="Q41" s="321">
        <f t="shared" si="9"/>
        <v>11817.2</v>
      </c>
      <c r="R41" s="173">
        <f>IF(ISNUMBER(VLOOKUP(E41,InteresPres!$B$2:$W$14,Prestaciones!C41-1997+2,0)),VLOOKUP(E41,InteresPres!$B$2:$W$14,Prestaciones!C41-1997+2,0),"0")/100</f>
        <v>0.14880000000000002</v>
      </c>
      <c r="S41" s="323">
        <f t="shared" si="3"/>
        <v>146.53328000000002</v>
      </c>
      <c r="T41" s="323">
        <f t="shared" si="10"/>
        <v>1863.0914383333338</v>
      </c>
      <c r="U41" s="5"/>
    </row>
    <row r="42" spans="2:21" x14ac:dyDescent="0.25">
      <c r="B42" s="4"/>
      <c r="C42" s="108">
        <f t="shared" si="4"/>
        <v>2013</v>
      </c>
      <c r="D42" s="109">
        <f t="shared" si="5"/>
        <v>7</v>
      </c>
      <c r="E42" s="110" t="str">
        <f>VLOOKUP(D42,FECHAS!$A$3:$B$14,2,0)</f>
        <v>Julio</v>
      </c>
      <c r="F42" s="320">
        <v>7998</v>
      </c>
      <c r="G42" s="108">
        <f t="shared" si="6"/>
        <v>2</v>
      </c>
      <c r="H42" s="108">
        <f t="shared" si="7"/>
        <v>4</v>
      </c>
      <c r="I42" s="111">
        <f t="shared" si="8"/>
        <v>0</v>
      </c>
      <c r="J42" s="111">
        <v>5</v>
      </c>
      <c r="K42" s="111">
        <f t="shared" si="11"/>
        <v>15</v>
      </c>
      <c r="L42" s="111">
        <f t="shared" si="12"/>
        <v>0</v>
      </c>
      <c r="M42" s="143" t="str">
        <f t="shared" si="0"/>
        <v>LOTTT</v>
      </c>
      <c r="N42" s="108">
        <f t="shared" si="1"/>
        <v>15</v>
      </c>
      <c r="O42" s="321">
        <f t="shared" si="2"/>
        <v>3999.0000000000005</v>
      </c>
      <c r="P42" s="322"/>
      <c r="Q42" s="321">
        <f t="shared" si="9"/>
        <v>15816.2</v>
      </c>
      <c r="R42" s="173">
        <f>IF(ISNUMBER(VLOOKUP(E42,InteresPres!$B$2:$W$14,Prestaciones!C42-1997+2,0)),VLOOKUP(E42,InteresPres!$B$2:$W$14,Prestaciones!C42-1997+2,0),"0")/100</f>
        <v>0.1497</v>
      </c>
      <c r="S42" s="323">
        <f t="shared" si="3"/>
        <v>197.307095</v>
      </c>
      <c r="T42" s="323">
        <f t="shared" si="10"/>
        <v>2060.3985333333339</v>
      </c>
      <c r="U42" s="5"/>
    </row>
    <row r="43" spans="2:21" x14ac:dyDescent="0.25">
      <c r="B43" s="4"/>
      <c r="C43" s="108">
        <f t="shared" si="4"/>
        <v>2013</v>
      </c>
      <c r="D43" s="109">
        <f t="shared" si="5"/>
        <v>8</v>
      </c>
      <c r="E43" s="110" t="str">
        <f>VLOOKUP(D43,FECHAS!$A$3:$B$14,2,0)</f>
        <v>Agosto</v>
      </c>
      <c r="F43" s="320">
        <v>7998</v>
      </c>
      <c r="G43" s="108">
        <f t="shared" si="6"/>
        <v>2</v>
      </c>
      <c r="H43" s="108">
        <f t="shared" si="7"/>
        <v>5</v>
      </c>
      <c r="I43" s="111">
        <f t="shared" si="8"/>
        <v>0</v>
      </c>
      <c r="J43" s="111">
        <v>5</v>
      </c>
      <c r="K43" s="111">
        <f t="shared" si="11"/>
        <v>0</v>
      </c>
      <c r="L43" s="111">
        <f t="shared" si="12"/>
        <v>0</v>
      </c>
      <c r="M43" s="143" t="str">
        <f t="shared" si="0"/>
        <v>LOTTT</v>
      </c>
      <c r="N43" s="108">
        <f t="shared" si="1"/>
        <v>0</v>
      </c>
      <c r="O43" s="321">
        <f t="shared" si="2"/>
        <v>0</v>
      </c>
      <c r="P43" s="322"/>
      <c r="Q43" s="321">
        <f t="shared" si="9"/>
        <v>15816.2</v>
      </c>
      <c r="R43" s="173">
        <f>IF(ISNUMBER(VLOOKUP(E43,InteresPres!$B$2:$W$14,Prestaciones!C43-1997+2,0)),VLOOKUP(E43,InteresPres!$B$2:$W$14,Prestaciones!C43-1997+2,0),"0")/100</f>
        <v>0.15529999999999999</v>
      </c>
      <c r="S43" s="323">
        <f t="shared" si="3"/>
        <v>204.68798833333332</v>
      </c>
      <c r="T43" s="323">
        <f t="shared" si="10"/>
        <v>2265.0865216666671</v>
      </c>
      <c r="U43" s="5"/>
    </row>
    <row r="44" spans="2:21" x14ac:dyDescent="0.25">
      <c r="B44" s="4"/>
      <c r="C44" s="108">
        <f t="shared" si="4"/>
        <v>2013</v>
      </c>
      <c r="D44" s="109">
        <f t="shared" si="5"/>
        <v>9</v>
      </c>
      <c r="E44" s="110" t="str">
        <f>VLOOKUP(D44,FECHAS!$A$3:$B$14,2,0)</f>
        <v>Septiembre</v>
      </c>
      <c r="F44" s="320">
        <v>7998</v>
      </c>
      <c r="G44" s="108">
        <f t="shared" si="6"/>
        <v>2</v>
      </c>
      <c r="H44" s="108">
        <f t="shared" si="7"/>
        <v>6</v>
      </c>
      <c r="I44" s="111">
        <f t="shared" si="8"/>
        <v>0</v>
      </c>
      <c r="J44" s="111">
        <v>5</v>
      </c>
      <c r="K44" s="111">
        <f t="shared" si="11"/>
        <v>0</v>
      </c>
      <c r="L44" s="111">
        <f t="shared" si="12"/>
        <v>0</v>
      </c>
      <c r="M44" s="143" t="str">
        <f t="shared" si="0"/>
        <v>LOTTT</v>
      </c>
      <c r="N44" s="108">
        <f t="shared" si="1"/>
        <v>0</v>
      </c>
      <c r="O44" s="321">
        <f t="shared" si="2"/>
        <v>0</v>
      </c>
      <c r="P44" s="322"/>
      <c r="Q44" s="321">
        <f t="shared" si="9"/>
        <v>15816.2</v>
      </c>
      <c r="R44" s="173">
        <f>IF(ISNUMBER(VLOOKUP(E44,InteresPres!$B$2:$W$14,Prestaciones!C44-1997+2,0)),VLOOKUP(E44,InteresPres!$B$2:$W$14,Prestaciones!C44-1997+2,0),"0")/100</f>
        <v>0.15130000000000002</v>
      </c>
      <c r="S44" s="323">
        <f t="shared" si="3"/>
        <v>199.41592166666669</v>
      </c>
      <c r="T44" s="323">
        <f t="shared" si="10"/>
        <v>2464.5024433333338</v>
      </c>
      <c r="U44" s="5"/>
    </row>
    <row r="45" spans="2:21" x14ac:dyDescent="0.25">
      <c r="B45" s="4"/>
      <c r="C45" s="108">
        <f t="shared" si="4"/>
        <v>2013</v>
      </c>
      <c r="D45" s="109">
        <f t="shared" si="5"/>
        <v>10</v>
      </c>
      <c r="E45" s="110" t="str">
        <f>VLOOKUP(D45,FECHAS!$A$3:$B$14,2,0)</f>
        <v>Octubre</v>
      </c>
      <c r="F45" s="320">
        <v>7998</v>
      </c>
      <c r="G45" s="108">
        <f t="shared" si="6"/>
        <v>2</v>
      </c>
      <c r="H45" s="108">
        <f t="shared" si="7"/>
        <v>7</v>
      </c>
      <c r="I45" s="111">
        <f t="shared" si="8"/>
        <v>0</v>
      </c>
      <c r="J45" s="111">
        <v>5</v>
      </c>
      <c r="K45" s="111">
        <f t="shared" si="11"/>
        <v>15</v>
      </c>
      <c r="L45" s="111">
        <f t="shared" si="12"/>
        <v>0</v>
      </c>
      <c r="M45" s="143" t="str">
        <f t="shared" si="0"/>
        <v>LOTTT</v>
      </c>
      <c r="N45" s="108">
        <f t="shared" si="1"/>
        <v>15</v>
      </c>
      <c r="O45" s="321">
        <f t="shared" si="2"/>
        <v>3999.0000000000005</v>
      </c>
      <c r="P45" s="322"/>
      <c r="Q45" s="321">
        <f t="shared" si="9"/>
        <v>19815.2</v>
      </c>
      <c r="R45" s="173">
        <f>IF(ISNUMBER(VLOOKUP(E45,InteresPres!$B$2:$W$14,Prestaciones!C45-1997+2,0)),VLOOKUP(E45,InteresPres!$B$2:$W$14,Prestaciones!C45-1997+2,0),"0")/100</f>
        <v>0.14990000000000001</v>
      </c>
      <c r="S45" s="323">
        <f t="shared" si="3"/>
        <v>247.52487333333335</v>
      </c>
      <c r="T45" s="323">
        <f t="shared" si="10"/>
        <v>2712.027316666667</v>
      </c>
      <c r="U45" s="5"/>
    </row>
    <row r="46" spans="2:21" x14ac:dyDescent="0.25">
      <c r="B46" s="4"/>
      <c r="C46" s="108">
        <f t="shared" si="4"/>
        <v>2013</v>
      </c>
      <c r="D46" s="109">
        <f t="shared" si="5"/>
        <v>11</v>
      </c>
      <c r="E46" s="110" t="str">
        <f>VLOOKUP(D46,FECHAS!$A$3:$B$14,2,0)</f>
        <v>Noviembre</v>
      </c>
      <c r="F46" s="320">
        <v>7998</v>
      </c>
      <c r="G46" s="108">
        <f t="shared" si="6"/>
        <v>2</v>
      </c>
      <c r="H46" s="108">
        <f t="shared" si="7"/>
        <v>8</v>
      </c>
      <c r="I46" s="111">
        <f t="shared" si="8"/>
        <v>0</v>
      </c>
      <c r="J46" s="111">
        <v>5</v>
      </c>
      <c r="K46" s="111">
        <f t="shared" si="11"/>
        <v>0</v>
      </c>
      <c r="L46" s="111">
        <f t="shared" si="12"/>
        <v>0</v>
      </c>
      <c r="M46" s="143" t="str">
        <f t="shared" si="0"/>
        <v>LOTTT</v>
      </c>
      <c r="N46" s="108">
        <f t="shared" si="1"/>
        <v>0</v>
      </c>
      <c r="O46" s="321">
        <f t="shared" si="2"/>
        <v>0</v>
      </c>
      <c r="P46" s="322"/>
      <c r="Q46" s="321">
        <f t="shared" si="9"/>
        <v>19815.2</v>
      </c>
      <c r="R46" s="173">
        <f>IF(ISNUMBER(VLOOKUP(E46,InteresPres!$B$2:$W$14,Prestaciones!C46-1997+2,0)),VLOOKUP(E46,InteresPres!$B$2:$W$14,Prestaciones!C46-1997+2,0),"0")/100</f>
        <v>0.14929999999999999</v>
      </c>
      <c r="S46" s="323">
        <f t="shared" si="3"/>
        <v>246.53411333333332</v>
      </c>
      <c r="T46" s="323">
        <f t="shared" si="10"/>
        <v>2958.5614300000002</v>
      </c>
      <c r="U46" s="5"/>
    </row>
    <row r="47" spans="2:21" x14ac:dyDescent="0.25">
      <c r="B47" s="4"/>
      <c r="C47" s="108">
        <f t="shared" si="4"/>
        <v>2013</v>
      </c>
      <c r="D47" s="109">
        <f t="shared" si="5"/>
        <v>12</v>
      </c>
      <c r="E47" s="110" t="str">
        <f>VLOOKUP(D47,FECHAS!$A$3:$B$14,2,0)</f>
        <v>Diciembre</v>
      </c>
      <c r="F47" s="320">
        <v>7998</v>
      </c>
      <c r="G47" s="108">
        <f t="shared" si="6"/>
        <v>2</v>
      </c>
      <c r="H47" s="108">
        <f t="shared" si="7"/>
        <v>9</v>
      </c>
      <c r="I47" s="111">
        <f t="shared" si="8"/>
        <v>0</v>
      </c>
      <c r="J47" s="111">
        <v>5</v>
      </c>
      <c r="K47" s="111">
        <f t="shared" si="11"/>
        <v>0</v>
      </c>
      <c r="L47" s="111">
        <f t="shared" si="12"/>
        <v>0</v>
      </c>
      <c r="M47" s="143" t="str">
        <f t="shared" si="0"/>
        <v>LOTTT</v>
      </c>
      <c r="N47" s="108">
        <f t="shared" si="1"/>
        <v>0</v>
      </c>
      <c r="O47" s="321">
        <f t="shared" si="2"/>
        <v>0</v>
      </c>
      <c r="P47" s="322"/>
      <c r="Q47" s="321">
        <f t="shared" si="9"/>
        <v>19815.2</v>
      </c>
      <c r="R47" s="173">
        <f>IF(ISNUMBER(VLOOKUP(E47,InteresPres!$B$2:$W$14,Prestaciones!C47-1997+2,0)),VLOOKUP(E47,InteresPres!$B$2:$W$14,Prestaciones!C47-1997+2,0),"0")/100</f>
        <v>0.1515</v>
      </c>
      <c r="S47" s="323">
        <f t="shared" si="3"/>
        <v>250.1669</v>
      </c>
      <c r="T47" s="323">
        <f t="shared" si="10"/>
        <v>3208.7283300000004</v>
      </c>
      <c r="U47" s="5"/>
    </row>
    <row r="48" spans="2:21" x14ac:dyDescent="0.25">
      <c r="B48" s="4"/>
      <c r="C48" s="108">
        <f t="shared" si="4"/>
        <v>2014</v>
      </c>
      <c r="D48" s="109">
        <f t="shared" si="5"/>
        <v>1</v>
      </c>
      <c r="E48" s="110" t="str">
        <f>VLOOKUP(D48,FECHAS!$A$3:$B$14,2,0)</f>
        <v>Enero</v>
      </c>
      <c r="F48" s="319">
        <v>11610</v>
      </c>
      <c r="G48" s="108">
        <f t="shared" si="6"/>
        <v>2</v>
      </c>
      <c r="H48" s="108">
        <f t="shared" si="7"/>
        <v>10</v>
      </c>
      <c r="I48" s="111">
        <f t="shared" si="8"/>
        <v>0</v>
      </c>
      <c r="J48" s="111">
        <v>5</v>
      </c>
      <c r="K48" s="111">
        <f t="shared" si="11"/>
        <v>15</v>
      </c>
      <c r="L48" s="111">
        <f t="shared" si="12"/>
        <v>0</v>
      </c>
      <c r="M48" s="143" t="str">
        <f t="shared" si="0"/>
        <v>LOTTT</v>
      </c>
      <c r="N48" s="108">
        <f t="shared" si="1"/>
        <v>15</v>
      </c>
      <c r="O48" s="321">
        <f t="shared" si="2"/>
        <v>5805</v>
      </c>
      <c r="P48" s="322"/>
      <c r="Q48" s="321">
        <f t="shared" si="9"/>
        <v>25620.2</v>
      </c>
      <c r="R48" s="173">
        <f>IF(ISNUMBER(VLOOKUP(E48,InteresPres!$B$2:$W$14,Prestaciones!C48-1997+2,0)),VLOOKUP(E48,InteresPres!$B$2:$W$14,Prestaciones!C48-1997+2,0),"0")/100</f>
        <v>0.1512</v>
      </c>
      <c r="S48" s="323">
        <f t="shared" si="3"/>
        <v>322.81452000000002</v>
      </c>
      <c r="T48" s="323">
        <f t="shared" si="10"/>
        <v>3531.5428500000003</v>
      </c>
      <c r="U48" s="5"/>
    </row>
    <row r="49" spans="2:21" x14ac:dyDescent="0.25">
      <c r="B49" s="4"/>
      <c r="C49" s="108">
        <f t="shared" si="4"/>
        <v>2014</v>
      </c>
      <c r="D49" s="109">
        <f t="shared" si="5"/>
        <v>2</v>
      </c>
      <c r="E49" s="110" t="str">
        <f>VLOOKUP(D49,FECHAS!$A$3:$B$14,2,0)</f>
        <v>Febrero</v>
      </c>
      <c r="F49" s="319">
        <v>11610</v>
      </c>
      <c r="G49" s="108">
        <f t="shared" si="6"/>
        <v>2</v>
      </c>
      <c r="H49" s="108">
        <f t="shared" si="7"/>
        <v>11</v>
      </c>
      <c r="I49" s="111">
        <f t="shared" si="8"/>
        <v>0</v>
      </c>
      <c r="J49" s="111">
        <v>5</v>
      </c>
      <c r="K49" s="111">
        <f t="shared" si="11"/>
        <v>0</v>
      </c>
      <c r="L49" s="111">
        <f t="shared" si="12"/>
        <v>0</v>
      </c>
      <c r="M49" s="143" t="str">
        <f t="shared" si="0"/>
        <v>LOTTT</v>
      </c>
      <c r="N49" s="108">
        <f t="shared" si="1"/>
        <v>0</v>
      </c>
      <c r="O49" s="321">
        <f t="shared" si="2"/>
        <v>0</v>
      </c>
      <c r="P49" s="322"/>
      <c r="Q49" s="321">
        <f t="shared" si="9"/>
        <v>25620.2</v>
      </c>
      <c r="R49" s="173">
        <f>IF(ISNUMBER(VLOOKUP(E49,InteresPres!$B$2:$W$14,Prestaciones!C49-1997+2,0)),VLOOKUP(E49,InteresPres!$B$2:$W$14,Prestaciones!C49-1997+2,0),"0")/100</f>
        <v>0.15539999999999998</v>
      </c>
      <c r="S49" s="323">
        <f t="shared" si="3"/>
        <v>331.78158999999994</v>
      </c>
      <c r="T49" s="323">
        <f t="shared" si="10"/>
        <v>3863.3244400000003</v>
      </c>
      <c r="U49" s="5"/>
    </row>
    <row r="50" spans="2:21" x14ac:dyDescent="0.25">
      <c r="B50" s="4"/>
      <c r="C50" s="108">
        <f t="shared" si="4"/>
        <v>2014</v>
      </c>
      <c r="D50" s="109">
        <f t="shared" si="5"/>
        <v>3</v>
      </c>
      <c r="E50" s="110" t="str">
        <f>VLOOKUP(D50,FECHAS!$A$3:$B$14,2,0)</f>
        <v>Marzo</v>
      </c>
      <c r="F50" s="319"/>
      <c r="G50" s="108">
        <f t="shared" si="6"/>
        <v>3</v>
      </c>
      <c r="H50" s="108">
        <f t="shared" si="7"/>
        <v>0</v>
      </c>
      <c r="I50" s="111">
        <f t="shared" si="8"/>
        <v>4</v>
      </c>
      <c r="J50" s="111">
        <v>5</v>
      </c>
      <c r="K50" s="111">
        <f t="shared" si="11"/>
        <v>0</v>
      </c>
      <c r="L50" s="111">
        <f t="shared" si="12"/>
        <v>0</v>
      </c>
      <c r="M50" s="143" t="str">
        <f t="shared" si="0"/>
        <v>LOTTT</v>
      </c>
      <c r="N50" s="108">
        <f t="shared" si="1"/>
        <v>4</v>
      </c>
      <c r="O50" s="321">
        <f t="shared" si="2"/>
        <v>0</v>
      </c>
      <c r="P50" s="322"/>
      <c r="Q50" s="321">
        <f t="shared" si="9"/>
        <v>0</v>
      </c>
      <c r="R50" s="173">
        <f>IF(ISNUMBER(VLOOKUP(E50,InteresPres!$B$2:$W$14,Prestaciones!C50-1997+2,0)),VLOOKUP(E50,InteresPres!$B$2:$W$14,Prestaciones!C50-1997+2,0),"0")/100</f>
        <v>0.15049999999999999</v>
      </c>
      <c r="S50" s="323">
        <f t="shared" si="3"/>
        <v>0</v>
      </c>
      <c r="T50" s="323">
        <f t="shared" si="10"/>
        <v>0</v>
      </c>
      <c r="U50" s="5"/>
    </row>
    <row r="51" spans="2:21" x14ac:dyDescent="0.25">
      <c r="B51" s="4"/>
      <c r="C51" s="108">
        <f t="shared" si="4"/>
        <v>2014</v>
      </c>
      <c r="D51" s="109">
        <f t="shared" si="5"/>
        <v>4</v>
      </c>
      <c r="E51" s="110" t="str">
        <f>VLOOKUP(D51,FECHAS!$A$3:$B$14,2,0)</f>
        <v>Abril</v>
      </c>
      <c r="F51" s="319"/>
      <c r="G51" s="108">
        <f t="shared" si="6"/>
        <v>3</v>
      </c>
      <c r="H51" s="108">
        <f t="shared" si="7"/>
        <v>1</v>
      </c>
      <c r="I51" s="111">
        <f t="shared" si="8"/>
        <v>0</v>
      </c>
      <c r="J51" s="111">
        <v>5</v>
      </c>
      <c r="K51" s="111">
        <f t="shared" si="11"/>
        <v>15</v>
      </c>
      <c r="L51" s="111">
        <f t="shared" si="12"/>
        <v>0</v>
      </c>
      <c r="M51" s="143" t="str">
        <f t="shared" si="0"/>
        <v>LOTTT</v>
      </c>
      <c r="N51" s="108">
        <f t="shared" si="1"/>
        <v>15</v>
      </c>
      <c r="O51" s="321">
        <f t="shared" si="2"/>
        <v>0</v>
      </c>
      <c r="P51" s="322"/>
      <c r="Q51" s="321">
        <f t="shared" si="9"/>
        <v>0</v>
      </c>
      <c r="R51" s="173">
        <f>IF(ISNUMBER(VLOOKUP(E51,InteresPres!$B$2:$W$14,Prestaciones!C51-1997+2,0)),VLOOKUP(E51,InteresPres!$B$2:$W$14,Prestaciones!C51-1997+2,0),"0")/100</f>
        <v>0.15439999999999998</v>
      </c>
      <c r="S51" s="323">
        <f t="shared" si="3"/>
        <v>0</v>
      </c>
      <c r="T51" s="323">
        <f t="shared" si="10"/>
        <v>0</v>
      </c>
      <c r="U51" s="5"/>
    </row>
    <row r="52" spans="2:21" x14ac:dyDescent="0.25">
      <c r="B52" s="4"/>
      <c r="C52" s="108">
        <f t="shared" si="4"/>
        <v>2014</v>
      </c>
      <c r="D52" s="109">
        <f t="shared" si="5"/>
        <v>5</v>
      </c>
      <c r="E52" s="110" t="str">
        <f>VLOOKUP(D52,FECHAS!$A$3:$B$14,2,0)</f>
        <v>Mayo</v>
      </c>
      <c r="F52" s="319"/>
      <c r="G52" s="108">
        <f t="shared" si="6"/>
        <v>3</v>
      </c>
      <c r="H52" s="108">
        <f t="shared" si="7"/>
        <v>2</v>
      </c>
      <c r="I52" s="111">
        <f t="shared" si="8"/>
        <v>0</v>
      </c>
      <c r="J52" s="111">
        <v>5</v>
      </c>
      <c r="K52" s="111">
        <f t="shared" si="11"/>
        <v>0</v>
      </c>
      <c r="L52" s="111">
        <f t="shared" si="12"/>
        <v>0</v>
      </c>
      <c r="M52" s="143" t="str">
        <f t="shared" si="0"/>
        <v>LOTTT</v>
      </c>
      <c r="N52" s="108">
        <f t="shared" si="1"/>
        <v>0</v>
      </c>
      <c r="O52" s="321">
        <f t="shared" si="2"/>
        <v>0</v>
      </c>
      <c r="P52" s="322"/>
      <c r="Q52" s="321">
        <f t="shared" si="9"/>
        <v>0</v>
      </c>
      <c r="R52" s="173">
        <f>IF(ISNUMBER(VLOOKUP(E52,InteresPres!$B$2:$W$14,Prestaciones!C52-1997+2,0)),VLOOKUP(E52,InteresPres!$B$2:$W$14,Prestaciones!C52-1997+2,0),"0")/100</f>
        <v>0.15539999999999998</v>
      </c>
      <c r="S52" s="323">
        <f t="shared" si="3"/>
        <v>0</v>
      </c>
      <c r="T52" s="323">
        <f t="shared" si="10"/>
        <v>0</v>
      </c>
      <c r="U52" s="5"/>
    </row>
    <row r="53" spans="2:21" x14ac:dyDescent="0.25">
      <c r="B53" s="4"/>
      <c r="C53" s="108">
        <f t="shared" si="4"/>
        <v>2014</v>
      </c>
      <c r="D53" s="109">
        <f t="shared" si="5"/>
        <v>6</v>
      </c>
      <c r="E53" s="110" t="str">
        <f>VLOOKUP(D53,FECHAS!$A$3:$B$14,2,0)</f>
        <v>Junio</v>
      </c>
      <c r="F53" s="319"/>
      <c r="G53" s="108">
        <f t="shared" si="6"/>
        <v>3</v>
      </c>
      <c r="H53" s="108">
        <f t="shared" si="7"/>
        <v>3</v>
      </c>
      <c r="I53" s="111">
        <f t="shared" si="8"/>
        <v>0</v>
      </c>
      <c r="J53" s="111">
        <v>5</v>
      </c>
      <c r="K53" s="111">
        <f t="shared" si="11"/>
        <v>0</v>
      </c>
      <c r="L53" s="111">
        <f t="shared" si="12"/>
        <v>0</v>
      </c>
      <c r="M53" s="143" t="str">
        <f t="shared" si="0"/>
        <v>LOTTT</v>
      </c>
      <c r="N53" s="108">
        <f t="shared" si="1"/>
        <v>0</v>
      </c>
      <c r="O53" s="321">
        <f t="shared" si="2"/>
        <v>0</v>
      </c>
      <c r="P53" s="322"/>
      <c r="Q53" s="321">
        <f t="shared" si="9"/>
        <v>0</v>
      </c>
      <c r="R53" s="173">
        <f>IF(ISNUMBER(VLOOKUP(E53,InteresPres!$B$2:$W$14,Prestaciones!C53-1997+2,0)),VLOOKUP(E53,InteresPres!$B$2:$W$14,Prestaciones!C53-1997+2,0),"0")/100</f>
        <v>0.15560000000000002</v>
      </c>
      <c r="S53" s="323">
        <f t="shared" si="3"/>
        <v>0</v>
      </c>
      <c r="T53" s="323">
        <f t="shared" si="10"/>
        <v>0</v>
      </c>
      <c r="U53" s="5"/>
    </row>
    <row r="54" spans="2:21" x14ac:dyDescent="0.25">
      <c r="B54" s="4"/>
      <c r="C54" s="108">
        <f t="shared" si="4"/>
        <v>2014</v>
      </c>
      <c r="D54" s="109">
        <f t="shared" si="5"/>
        <v>7</v>
      </c>
      <c r="E54" s="110" t="str">
        <f>VLOOKUP(D54,FECHAS!$A$3:$B$14,2,0)</f>
        <v>Julio</v>
      </c>
      <c r="F54" s="319"/>
      <c r="G54" s="108">
        <f t="shared" si="6"/>
        <v>3</v>
      </c>
      <c r="H54" s="108">
        <f t="shared" si="7"/>
        <v>4</v>
      </c>
      <c r="I54" s="111">
        <f t="shared" si="8"/>
        <v>0</v>
      </c>
      <c r="J54" s="111">
        <v>5</v>
      </c>
      <c r="K54" s="111">
        <f t="shared" si="11"/>
        <v>15</v>
      </c>
      <c r="L54" s="111">
        <f t="shared" si="12"/>
        <v>0</v>
      </c>
      <c r="M54" s="143" t="str">
        <f t="shared" si="0"/>
        <v>LOTTT</v>
      </c>
      <c r="N54" s="108">
        <f t="shared" si="1"/>
        <v>15</v>
      </c>
      <c r="O54" s="321">
        <f t="shared" si="2"/>
        <v>0</v>
      </c>
      <c r="P54" s="322"/>
      <c r="Q54" s="321">
        <f t="shared" si="9"/>
        <v>0</v>
      </c>
      <c r="R54" s="173">
        <f>IF(ISNUMBER(VLOOKUP(E54,InteresPres!$B$2:$W$14,Prestaciones!C54-1997+2,0)),VLOOKUP(E54,InteresPres!$B$2:$W$14,Prestaciones!C54-1997+2,0),"0")/100</f>
        <v>0.15859999999999999</v>
      </c>
      <c r="S54" s="323">
        <f t="shared" si="3"/>
        <v>0</v>
      </c>
      <c r="T54" s="323">
        <f t="shared" si="10"/>
        <v>0</v>
      </c>
      <c r="U54" s="5"/>
    </row>
    <row r="55" spans="2:21" x14ac:dyDescent="0.25">
      <c r="B55" s="4"/>
      <c r="C55" s="108">
        <f t="shared" si="4"/>
        <v>2014</v>
      </c>
      <c r="D55" s="109">
        <f t="shared" si="5"/>
        <v>8</v>
      </c>
      <c r="E55" s="110" t="str">
        <f>VLOOKUP(D55,FECHAS!$A$3:$B$14,2,0)</f>
        <v>Agosto</v>
      </c>
      <c r="F55" s="319"/>
      <c r="G55" s="108">
        <f t="shared" si="6"/>
        <v>3</v>
      </c>
      <c r="H55" s="108">
        <f t="shared" si="7"/>
        <v>5</v>
      </c>
      <c r="I55" s="111">
        <f t="shared" si="8"/>
        <v>0</v>
      </c>
      <c r="J55" s="111">
        <v>5</v>
      </c>
      <c r="K55" s="111">
        <f t="shared" si="11"/>
        <v>0</v>
      </c>
      <c r="L55" s="111">
        <f t="shared" si="12"/>
        <v>0</v>
      </c>
      <c r="M55" s="143" t="str">
        <f t="shared" si="0"/>
        <v>LOTTT</v>
      </c>
      <c r="N55" s="108">
        <f t="shared" si="1"/>
        <v>0</v>
      </c>
      <c r="O55" s="321">
        <f t="shared" si="2"/>
        <v>0</v>
      </c>
      <c r="P55" s="322"/>
      <c r="Q55" s="321">
        <f t="shared" si="9"/>
        <v>0</v>
      </c>
      <c r="R55" s="173">
        <f>IF(ISNUMBER(VLOOKUP(E55,InteresPres!$B$2:$W$14,Prestaciones!C55-1997+2,0)),VLOOKUP(E55,InteresPres!$B$2:$W$14,Prestaciones!C55-1997+2,0),"0")/100</f>
        <v>0.1623</v>
      </c>
      <c r="S55" s="323">
        <f t="shared" si="3"/>
        <v>0</v>
      </c>
      <c r="T55" s="323">
        <f t="shared" si="10"/>
        <v>0</v>
      </c>
      <c r="U55" s="5"/>
    </row>
    <row r="56" spans="2:21" x14ac:dyDescent="0.25">
      <c r="B56" s="4"/>
      <c r="C56" s="108">
        <f t="shared" si="4"/>
        <v>2014</v>
      </c>
      <c r="D56" s="109">
        <f t="shared" si="5"/>
        <v>9</v>
      </c>
      <c r="E56" s="110" t="str">
        <f>VLOOKUP(D56,FECHAS!$A$3:$B$14,2,0)</f>
        <v>Septiembre</v>
      </c>
      <c r="F56" s="319"/>
      <c r="G56" s="108">
        <f t="shared" si="6"/>
        <v>3</v>
      </c>
      <c r="H56" s="108">
        <f t="shared" si="7"/>
        <v>6</v>
      </c>
      <c r="I56" s="111">
        <f t="shared" si="8"/>
        <v>0</v>
      </c>
      <c r="J56" s="111">
        <v>5</v>
      </c>
      <c r="K56" s="111">
        <f t="shared" si="11"/>
        <v>0</v>
      </c>
      <c r="L56" s="111">
        <f t="shared" si="12"/>
        <v>0</v>
      </c>
      <c r="M56" s="143" t="str">
        <f t="shared" si="0"/>
        <v>LOTTT</v>
      </c>
      <c r="N56" s="108">
        <f t="shared" si="1"/>
        <v>0</v>
      </c>
      <c r="O56" s="321">
        <f t="shared" si="2"/>
        <v>0</v>
      </c>
      <c r="P56" s="322"/>
      <c r="Q56" s="321">
        <f t="shared" si="9"/>
        <v>0</v>
      </c>
      <c r="R56" s="173">
        <f>IF(ISNUMBER(VLOOKUP(E56,InteresPres!$B$2:$W$14,Prestaciones!C56-1997+2,0)),VLOOKUP(E56,InteresPres!$B$2:$W$14,Prestaciones!C56-1997+2,0),"0")/100</f>
        <v>0.16159999999999999</v>
      </c>
      <c r="S56" s="323">
        <f t="shared" si="3"/>
        <v>0</v>
      </c>
      <c r="T56" s="323">
        <f t="shared" si="10"/>
        <v>0</v>
      </c>
      <c r="U56" s="5"/>
    </row>
    <row r="57" spans="2:21" x14ac:dyDescent="0.25">
      <c r="B57" s="4"/>
      <c r="C57" s="108">
        <f t="shared" si="4"/>
        <v>2014</v>
      </c>
      <c r="D57" s="109">
        <f t="shared" si="5"/>
        <v>10</v>
      </c>
      <c r="E57" s="110" t="str">
        <f>VLOOKUP(D57,FECHAS!$A$3:$B$14,2,0)</f>
        <v>Octubre</v>
      </c>
      <c r="F57" s="319"/>
      <c r="G57" s="108">
        <f t="shared" si="6"/>
        <v>3</v>
      </c>
      <c r="H57" s="108">
        <f t="shared" si="7"/>
        <v>7</v>
      </c>
      <c r="I57" s="111">
        <f t="shared" si="8"/>
        <v>0</v>
      </c>
      <c r="J57" s="111">
        <v>5</v>
      </c>
      <c r="K57" s="111">
        <f t="shared" si="11"/>
        <v>15</v>
      </c>
      <c r="L57" s="111">
        <f t="shared" si="12"/>
        <v>0</v>
      </c>
      <c r="M57" s="143" t="str">
        <f t="shared" si="0"/>
        <v>LOTTT</v>
      </c>
      <c r="N57" s="108">
        <f t="shared" si="1"/>
        <v>15</v>
      </c>
      <c r="O57" s="321">
        <f t="shared" si="2"/>
        <v>0</v>
      </c>
      <c r="P57" s="322"/>
      <c r="Q57" s="321">
        <f t="shared" si="9"/>
        <v>0</v>
      </c>
      <c r="R57" s="173">
        <f>IF(ISNUMBER(VLOOKUP(E57,InteresPres!$B$2:$W$14,Prestaciones!C57-1997+2,0)),VLOOKUP(E57,InteresPres!$B$2:$W$14,Prestaciones!C57-1997+2,0),"0")/100</f>
        <v>0.16649999999999998</v>
      </c>
      <c r="S57" s="323">
        <f t="shared" si="3"/>
        <v>0</v>
      </c>
      <c r="T57" s="323">
        <f t="shared" si="10"/>
        <v>0</v>
      </c>
      <c r="U57" s="5"/>
    </row>
    <row r="58" spans="2:21" x14ac:dyDescent="0.25">
      <c r="B58" s="4"/>
      <c r="C58" s="108">
        <f t="shared" si="4"/>
        <v>2014</v>
      </c>
      <c r="D58" s="109">
        <f t="shared" si="5"/>
        <v>11</v>
      </c>
      <c r="E58" s="110" t="str">
        <f>VLOOKUP(D58,FECHAS!$A$3:$B$14,2,0)</f>
        <v>Noviembre</v>
      </c>
      <c r="F58" s="319"/>
      <c r="G58" s="108">
        <f t="shared" si="6"/>
        <v>3</v>
      </c>
      <c r="H58" s="108">
        <f t="shared" si="7"/>
        <v>8</v>
      </c>
      <c r="I58" s="111">
        <f t="shared" si="8"/>
        <v>0</v>
      </c>
      <c r="J58" s="111">
        <v>5</v>
      </c>
      <c r="K58" s="111">
        <f t="shared" si="11"/>
        <v>0</v>
      </c>
      <c r="L58" s="111">
        <f t="shared" si="12"/>
        <v>0</v>
      </c>
      <c r="M58" s="143" t="str">
        <f t="shared" si="0"/>
        <v>LOTTT</v>
      </c>
      <c r="N58" s="108">
        <f t="shared" si="1"/>
        <v>0</v>
      </c>
      <c r="O58" s="321">
        <f t="shared" si="2"/>
        <v>0</v>
      </c>
      <c r="P58" s="322"/>
      <c r="Q58" s="321">
        <f t="shared" si="9"/>
        <v>0</v>
      </c>
      <c r="R58" s="173">
        <f>IF(ISNUMBER(VLOOKUP(E58,InteresPres!$B$2:$W$14,Prestaciones!C58-1997+2,0)),VLOOKUP(E58,InteresPres!$B$2:$W$14,Prestaciones!C58-1997+2,0),"0")/100</f>
        <v>0.1696</v>
      </c>
      <c r="S58" s="323">
        <f t="shared" si="3"/>
        <v>0</v>
      </c>
      <c r="T58" s="323">
        <f t="shared" si="10"/>
        <v>0</v>
      </c>
      <c r="U58" s="5"/>
    </row>
    <row r="59" spans="2:21" x14ac:dyDescent="0.25">
      <c r="B59" s="4"/>
      <c r="C59" s="108">
        <f t="shared" si="4"/>
        <v>2014</v>
      </c>
      <c r="D59" s="109">
        <f t="shared" si="5"/>
        <v>12</v>
      </c>
      <c r="E59" s="110" t="str">
        <f>VLOOKUP(D59,FECHAS!$A$3:$B$14,2,0)</f>
        <v>Diciembre</v>
      </c>
      <c r="F59" s="319"/>
      <c r="G59" s="108">
        <f t="shared" si="6"/>
        <v>3</v>
      </c>
      <c r="H59" s="108">
        <f t="shared" si="7"/>
        <v>9</v>
      </c>
      <c r="I59" s="111">
        <f t="shared" si="8"/>
        <v>0</v>
      </c>
      <c r="J59" s="111">
        <v>5</v>
      </c>
      <c r="K59" s="111">
        <f t="shared" si="11"/>
        <v>0</v>
      </c>
      <c r="L59" s="111">
        <f t="shared" si="12"/>
        <v>0</v>
      </c>
      <c r="M59" s="143" t="str">
        <f t="shared" si="0"/>
        <v>LOTTT</v>
      </c>
      <c r="N59" s="108">
        <f t="shared" si="1"/>
        <v>0</v>
      </c>
      <c r="O59" s="321">
        <f t="shared" si="2"/>
        <v>0</v>
      </c>
      <c r="P59" s="322"/>
      <c r="Q59" s="321">
        <f t="shared" si="9"/>
        <v>0</v>
      </c>
      <c r="R59" s="173">
        <f>IF(ISNUMBER(VLOOKUP(E59,InteresPres!$B$2:$W$14,Prestaciones!C59-1997+2,0)),VLOOKUP(E59,InteresPres!$B$2:$W$14,Prestaciones!C59-1997+2,0),"0")/100</f>
        <v>0.16850000000000001</v>
      </c>
      <c r="S59" s="323">
        <f t="shared" si="3"/>
        <v>0</v>
      </c>
      <c r="T59" s="323">
        <f t="shared" si="10"/>
        <v>0</v>
      </c>
      <c r="U59" s="5"/>
    </row>
    <row r="60" spans="2:21" x14ac:dyDescent="0.25">
      <c r="B60" s="4"/>
      <c r="C60" s="108">
        <f t="shared" si="4"/>
        <v>2015</v>
      </c>
      <c r="D60" s="109">
        <f t="shared" si="5"/>
        <v>1</v>
      </c>
      <c r="E60" s="110" t="str">
        <f>VLOOKUP(D60,FECHAS!$A$3:$B$14,2,0)</f>
        <v>Enero</v>
      </c>
      <c r="F60" s="319"/>
      <c r="G60" s="108">
        <f t="shared" si="6"/>
        <v>3</v>
      </c>
      <c r="H60" s="108">
        <f t="shared" si="7"/>
        <v>10</v>
      </c>
      <c r="I60" s="111">
        <f t="shared" si="8"/>
        <v>0</v>
      </c>
      <c r="J60" s="111">
        <v>5</v>
      </c>
      <c r="K60" s="111">
        <f t="shared" si="11"/>
        <v>15</v>
      </c>
      <c r="L60" s="111">
        <f t="shared" si="12"/>
        <v>0</v>
      </c>
      <c r="M60" s="143" t="str">
        <f t="shared" si="0"/>
        <v>LOTTT</v>
      </c>
      <c r="N60" s="108">
        <f t="shared" si="1"/>
        <v>15</v>
      </c>
      <c r="O60" s="321">
        <f t="shared" si="2"/>
        <v>0</v>
      </c>
      <c r="P60" s="322"/>
      <c r="Q60" s="321">
        <f t="shared" si="9"/>
        <v>0</v>
      </c>
      <c r="R60" s="173">
        <f>IF(ISNUMBER(VLOOKUP(E60,InteresPres!$B$2:$W$14,Prestaciones!C60-1997+2,0)),VLOOKUP(E60,InteresPres!$B$2:$W$14,Prestaciones!C60-1997+2,0),"0")/100</f>
        <v>0.16760000000000003</v>
      </c>
      <c r="S60" s="323">
        <f t="shared" si="3"/>
        <v>0</v>
      </c>
      <c r="T60" s="323">
        <f t="shared" si="10"/>
        <v>0</v>
      </c>
      <c r="U60" s="5"/>
    </row>
    <row r="61" spans="2:21" x14ac:dyDescent="0.25">
      <c r="B61" s="4"/>
      <c r="C61" s="108">
        <f t="shared" si="4"/>
        <v>2015</v>
      </c>
      <c r="D61" s="109">
        <f t="shared" si="5"/>
        <v>2</v>
      </c>
      <c r="E61" s="110" t="str">
        <f>VLOOKUP(D61,FECHAS!$A$3:$B$14,2,0)</f>
        <v>Febrero</v>
      </c>
      <c r="F61" s="319"/>
      <c r="G61" s="108">
        <f t="shared" si="6"/>
        <v>3</v>
      </c>
      <c r="H61" s="108">
        <f t="shared" si="7"/>
        <v>11</v>
      </c>
      <c r="I61" s="111">
        <f t="shared" si="8"/>
        <v>0</v>
      </c>
      <c r="J61" s="111">
        <v>5</v>
      </c>
      <c r="K61" s="111">
        <f t="shared" si="11"/>
        <v>0</v>
      </c>
      <c r="L61" s="111">
        <f t="shared" si="12"/>
        <v>0</v>
      </c>
      <c r="M61" s="143" t="str">
        <f t="shared" si="0"/>
        <v>LOTTT</v>
      </c>
      <c r="N61" s="108">
        <f t="shared" si="1"/>
        <v>0</v>
      </c>
      <c r="O61" s="321">
        <f t="shared" si="2"/>
        <v>0</v>
      </c>
      <c r="P61" s="322"/>
      <c r="Q61" s="321">
        <f t="shared" si="9"/>
        <v>0</v>
      </c>
      <c r="R61" s="173">
        <f>IF(ISNUMBER(VLOOKUP(E61,InteresPres!$B$2:$W$14,Prestaciones!C61-1997+2,0)),VLOOKUP(E61,InteresPres!$B$2:$W$14,Prestaciones!C61-1997+2,0),"0")/100</f>
        <v>0.16649999999999998</v>
      </c>
      <c r="S61" s="323">
        <f t="shared" si="3"/>
        <v>0</v>
      </c>
      <c r="T61" s="323">
        <f t="shared" si="10"/>
        <v>0</v>
      </c>
      <c r="U61" s="5"/>
    </row>
    <row r="62" spans="2:21" x14ac:dyDescent="0.25">
      <c r="B62" s="4"/>
      <c r="C62" s="108">
        <f t="shared" si="4"/>
        <v>2015</v>
      </c>
      <c r="D62" s="109">
        <f t="shared" si="5"/>
        <v>3</v>
      </c>
      <c r="E62" s="110" t="str">
        <f>VLOOKUP(D62,FECHAS!$A$3:$B$14,2,0)</f>
        <v>Marzo</v>
      </c>
      <c r="F62" s="319"/>
      <c r="G62" s="108">
        <f t="shared" si="6"/>
        <v>4</v>
      </c>
      <c r="H62" s="108">
        <f t="shared" si="7"/>
        <v>0</v>
      </c>
      <c r="I62" s="111">
        <f t="shared" si="8"/>
        <v>6</v>
      </c>
      <c r="J62" s="111">
        <v>5</v>
      </c>
      <c r="K62" s="111">
        <f t="shared" si="11"/>
        <v>0</v>
      </c>
      <c r="L62" s="111">
        <f t="shared" si="12"/>
        <v>0</v>
      </c>
      <c r="M62" s="143" t="str">
        <f t="shared" si="0"/>
        <v>LOTTT</v>
      </c>
      <c r="N62" s="108">
        <f t="shared" si="1"/>
        <v>6</v>
      </c>
      <c r="O62" s="321">
        <f t="shared" si="2"/>
        <v>0</v>
      </c>
      <c r="P62" s="322"/>
      <c r="Q62" s="321">
        <f t="shared" si="9"/>
        <v>0</v>
      </c>
      <c r="R62" s="173">
        <f>IF(ISNUMBER(VLOOKUP(E62,InteresPres!$B$2:$W$14,Prestaciones!C62-1997+2,0)),VLOOKUP(E62,InteresPres!$B$2:$W$14,Prestaciones!C62-1997+2,0),"0")/100</f>
        <v>0.1671</v>
      </c>
      <c r="S62" s="323">
        <f t="shared" si="3"/>
        <v>0</v>
      </c>
      <c r="T62" s="323">
        <f t="shared" si="10"/>
        <v>0</v>
      </c>
      <c r="U62" s="5"/>
    </row>
    <row r="63" spans="2:21" x14ac:dyDescent="0.25">
      <c r="B63" s="4"/>
      <c r="C63" s="108">
        <f t="shared" si="4"/>
        <v>2015</v>
      </c>
      <c r="D63" s="109">
        <f t="shared" si="5"/>
        <v>4</v>
      </c>
      <c r="E63" s="110" t="str">
        <f>VLOOKUP(D63,FECHAS!$A$3:$B$14,2,0)</f>
        <v>Abril</v>
      </c>
      <c r="F63" s="319"/>
      <c r="G63" s="108">
        <f t="shared" si="6"/>
        <v>4</v>
      </c>
      <c r="H63" s="108">
        <f t="shared" si="7"/>
        <v>1</v>
      </c>
      <c r="I63" s="111">
        <f t="shared" si="8"/>
        <v>0</v>
      </c>
      <c r="J63" s="111">
        <v>5</v>
      </c>
      <c r="K63" s="111">
        <f t="shared" si="11"/>
        <v>15</v>
      </c>
      <c r="L63" s="111">
        <f t="shared" si="12"/>
        <v>0</v>
      </c>
      <c r="M63" s="143" t="str">
        <f t="shared" si="0"/>
        <v>LOTTT</v>
      </c>
      <c r="N63" s="108">
        <f t="shared" si="1"/>
        <v>15</v>
      </c>
      <c r="O63" s="321">
        <f t="shared" si="2"/>
        <v>0</v>
      </c>
      <c r="P63" s="322"/>
      <c r="Q63" s="321">
        <f t="shared" si="9"/>
        <v>0</v>
      </c>
      <c r="R63" s="173">
        <f>IF(ISNUMBER(VLOOKUP(E63,InteresPres!$B$2:$W$14,Prestaciones!C63-1997+2,0)),VLOOKUP(E63,InteresPres!$B$2:$W$14,Prestaciones!C63-1997+2,0),"0")/100</f>
        <v>0.17219999999999999</v>
      </c>
      <c r="S63" s="323">
        <f t="shared" si="3"/>
        <v>0</v>
      </c>
      <c r="T63" s="323">
        <f t="shared" si="10"/>
        <v>0</v>
      </c>
      <c r="U63" s="5"/>
    </row>
    <row r="64" spans="2:21" x14ac:dyDescent="0.25">
      <c r="B64" s="4"/>
      <c r="C64" s="108">
        <f t="shared" si="4"/>
        <v>2015</v>
      </c>
      <c r="D64" s="109">
        <f t="shared" si="5"/>
        <v>5</v>
      </c>
      <c r="E64" s="110" t="str">
        <f>VLOOKUP(D64,FECHAS!$A$3:$B$14,2,0)</f>
        <v>Mayo</v>
      </c>
      <c r="F64" s="319"/>
      <c r="G64" s="108">
        <f t="shared" si="6"/>
        <v>4</v>
      </c>
      <c r="H64" s="108">
        <f t="shared" si="7"/>
        <v>2</v>
      </c>
      <c r="I64" s="111">
        <f t="shared" si="8"/>
        <v>0</v>
      </c>
      <c r="J64" s="111">
        <v>5</v>
      </c>
      <c r="K64" s="111">
        <f t="shared" si="11"/>
        <v>0</v>
      </c>
      <c r="L64" s="111">
        <f t="shared" si="12"/>
        <v>0</v>
      </c>
      <c r="M64" s="143" t="str">
        <f t="shared" si="0"/>
        <v>LOTTT</v>
      </c>
      <c r="N64" s="108">
        <f t="shared" si="1"/>
        <v>0</v>
      </c>
      <c r="O64" s="321">
        <f t="shared" si="2"/>
        <v>0</v>
      </c>
      <c r="P64" s="322"/>
      <c r="Q64" s="321">
        <f t="shared" si="9"/>
        <v>0</v>
      </c>
      <c r="R64" s="173">
        <f>IF(ISNUMBER(VLOOKUP(E64,InteresPres!$B$2:$W$14,Prestaciones!C64-1997+2,0)),VLOOKUP(E64,InteresPres!$B$2:$W$14,Prestaciones!C64-1997+2,0),"0")/100</f>
        <v>0.1699</v>
      </c>
      <c r="S64" s="323">
        <f t="shared" si="3"/>
        <v>0</v>
      </c>
      <c r="T64" s="323">
        <f t="shared" si="10"/>
        <v>0</v>
      </c>
      <c r="U64" s="5"/>
    </row>
    <row r="65" spans="2:21" x14ac:dyDescent="0.25">
      <c r="B65" s="4"/>
      <c r="C65" s="108">
        <f t="shared" si="4"/>
        <v>2015</v>
      </c>
      <c r="D65" s="109">
        <f t="shared" si="5"/>
        <v>6</v>
      </c>
      <c r="E65" s="110" t="str">
        <f>VLOOKUP(D65,FECHAS!$A$3:$B$14,2,0)</f>
        <v>Junio</v>
      </c>
      <c r="F65" s="319"/>
      <c r="G65" s="108">
        <f t="shared" si="6"/>
        <v>4</v>
      </c>
      <c r="H65" s="108">
        <f>IF(H64=11,0,H64+1)</f>
        <v>3</v>
      </c>
      <c r="I65" s="111">
        <f t="shared" si="8"/>
        <v>0</v>
      </c>
      <c r="J65" s="111">
        <v>5</v>
      </c>
      <c r="K65" s="111">
        <f t="shared" si="11"/>
        <v>0</v>
      </c>
      <c r="L65" s="111">
        <f t="shared" si="12"/>
        <v>0</v>
      </c>
      <c r="M65" s="143" t="str">
        <f t="shared" si="0"/>
        <v>LOTTT</v>
      </c>
      <c r="N65" s="108">
        <f t="shared" si="1"/>
        <v>0</v>
      </c>
      <c r="O65" s="321">
        <f t="shared" si="2"/>
        <v>0</v>
      </c>
      <c r="P65" s="322"/>
      <c r="Q65" s="321">
        <f t="shared" si="9"/>
        <v>0</v>
      </c>
      <c r="R65" s="173">
        <f>IF(ISNUMBER(VLOOKUP(E65,InteresPres!$B$2:$W$14,Prestaciones!C65-1997+2,0)),VLOOKUP(E65,InteresPres!$B$2:$W$14,Prestaciones!C65-1997+2,0),"0")/100</f>
        <v>0.17100000000000001</v>
      </c>
      <c r="S65" s="323">
        <f t="shared" si="3"/>
        <v>0</v>
      </c>
      <c r="T65" s="323">
        <f t="shared" si="10"/>
        <v>0</v>
      </c>
      <c r="U65" s="5"/>
    </row>
    <row r="66" spans="2:21" x14ac:dyDescent="0.25">
      <c r="B66" s="4"/>
      <c r="C66" s="108">
        <f t="shared" si="4"/>
        <v>2015</v>
      </c>
      <c r="D66" s="109">
        <f t="shared" si="5"/>
        <v>7</v>
      </c>
      <c r="E66" s="110" t="str">
        <f>VLOOKUP(D66,FECHAS!$A$3:$B$14,2,0)</f>
        <v>Julio</v>
      </c>
      <c r="F66" s="319"/>
      <c r="G66" s="108">
        <f t="shared" si="6"/>
        <v>4</v>
      </c>
      <c r="H66" s="108">
        <f t="shared" si="7"/>
        <v>4</v>
      </c>
      <c r="I66" s="111">
        <f t="shared" si="8"/>
        <v>0</v>
      </c>
      <c r="J66" s="111">
        <v>5</v>
      </c>
      <c r="K66" s="111">
        <f t="shared" si="11"/>
        <v>15</v>
      </c>
      <c r="L66" s="111">
        <f t="shared" si="12"/>
        <v>0</v>
      </c>
      <c r="M66" s="143" t="str">
        <f t="shared" si="0"/>
        <v>LOTTT</v>
      </c>
      <c r="N66" s="108">
        <f t="shared" si="1"/>
        <v>15</v>
      </c>
      <c r="O66" s="321">
        <f t="shared" si="2"/>
        <v>0</v>
      </c>
      <c r="P66" s="322"/>
      <c r="Q66" s="321">
        <f t="shared" si="9"/>
        <v>0</v>
      </c>
      <c r="R66" s="173">
        <f>IF(ISNUMBER(VLOOKUP(E66,InteresPres!$B$2:$W$14,Prestaciones!C66-1997+2,0)),VLOOKUP(E66,InteresPres!$B$2:$W$14,Prestaciones!C66-1997+2,0),"0")/100</f>
        <v>0.17379999999999998</v>
      </c>
      <c r="S66" s="323">
        <f t="shared" si="3"/>
        <v>0</v>
      </c>
      <c r="T66" s="323">
        <f t="shared" si="10"/>
        <v>0</v>
      </c>
      <c r="U66" s="5"/>
    </row>
    <row r="67" spans="2:21" x14ac:dyDescent="0.25">
      <c r="B67" s="4"/>
      <c r="C67" s="108">
        <f t="shared" si="4"/>
        <v>2015</v>
      </c>
      <c r="D67" s="109">
        <f t="shared" si="5"/>
        <v>8</v>
      </c>
      <c r="E67" s="110" t="str">
        <f>VLOOKUP(D67,FECHAS!$A$3:$B$14,2,0)</f>
        <v>Agosto</v>
      </c>
      <c r="F67" s="319"/>
      <c r="G67" s="108">
        <f t="shared" si="6"/>
        <v>4</v>
      </c>
      <c r="H67" s="108">
        <f t="shared" si="7"/>
        <v>5</v>
      </c>
      <c r="I67" s="111">
        <f t="shared" si="8"/>
        <v>0</v>
      </c>
      <c r="J67" s="111">
        <v>5</v>
      </c>
      <c r="K67" s="111">
        <f t="shared" si="11"/>
        <v>0</v>
      </c>
      <c r="L67" s="111">
        <f t="shared" si="12"/>
        <v>0</v>
      </c>
      <c r="M67" s="143" t="str">
        <f t="shared" si="0"/>
        <v>LOTTT</v>
      </c>
      <c r="N67" s="108">
        <f t="shared" si="1"/>
        <v>0</v>
      </c>
      <c r="O67" s="321">
        <f t="shared" si="2"/>
        <v>0</v>
      </c>
      <c r="P67" s="322"/>
      <c r="Q67" s="321">
        <f t="shared" si="9"/>
        <v>0</v>
      </c>
      <c r="R67" s="173">
        <f>IF(ISNUMBER(VLOOKUP(E67,InteresPres!$B$2:$W$14,Prestaciones!C67-1997+2,0)),VLOOKUP(E67,InteresPres!$B$2:$W$14,Prestaciones!C67-1997+2,0),"0")/100</f>
        <v>0.17489999999999997</v>
      </c>
      <c r="S67" s="323">
        <f t="shared" si="3"/>
        <v>0</v>
      </c>
      <c r="T67" s="323">
        <f t="shared" si="10"/>
        <v>0</v>
      </c>
      <c r="U67" s="5"/>
    </row>
    <row r="68" spans="2:21" x14ac:dyDescent="0.25">
      <c r="B68" s="4"/>
      <c r="C68" s="108">
        <f t="shared" si="4"/>
        <v>2015</v>
      </c>
      <c r="D68" s="109">
        <f t="shared" si="5"/>
        <v>9</v>
      </c>
      <c r="E68" s="110" t="str">
        <f>VLOOKUP(D68,FECHAS!$A$3:$B$14,2,0)</f>
        <v>Septiembre</v>
      </c>
      <c r="F68" s="319"/>
      <c r="G68" s="108">
        <f t="shared" si="6"/>
        <v>4</v>
      </c>
      <c r="H68" s="108">
        <f t="shared" si="7"/>
        <v>6</v>
      </c>
      <c r="I68" s="111">
        <f t="shared" si="8"/>
        <v>0</v>
      </c>
      <c r="J68" s="111">
        <v>5</v>
      </c>
      <c r="K68" s="111">
        <f t="shared" si="11"/>
        <v>0</v>
      </c>
      <c r="L68" s="111">
        <f t="shared" si="12"/>
        <v>0</v>
      </c>
      <c r="M68" s="143" t="str">
        <f t="shared" si="0"/>
        <v>LOTTT</v>
      </c>
      <c r="N68" s="108">
        <f t="shared" si="1"/>
        <v>0</v>
      </c>
      <c r="O68" s="321">
        <f t="shared" si="2"/>
        <v>0</v>
      </c>
      <c r="P68" s="322"/>
      <c r="Q68" s="321">
        <f t="shared" si="9"/>
        <v>0</v>
      </c>
      <c r="R68" s="173">
        <f>IF(ISNUMBER(VLOOKUP(E68,InteresPres!$B$2:$W$14,Prestaciones!C68-1997+2,0)),VLOOKUP(E68,InteresPres!$B$2:$W$14,Prestaciones!C68-1997+2,0),"0")/100</f>
        <v>0.17859999999999998</v>
      </c>
      <c r="S68" s="323">
        <f t="shared" si="3"/>
        <v>0</v>
      </c>
      <c r="T68" s="323">
        <f t="shared" si="10"/>
        <v>0</v>
      </c>
      <c r="U68" s="5"/>
    </row>
    <row r="69" spans="2:21" x14ac:dyDescent="0.25">
      <c r="B69" s="4"/>
      <c r="C69" s="108">
        <f t="shared" si="4"/>
        <v>2015</v>
      </c>
      <c r="D69" s="109">
        <f t="shared" si="5"/>
        <v>10</v>
      </c>
      <c r="E69" s="110" t="str">
        <f>VLOOKUP(D69,FECHAS!$A$3:$B$14,2,0)</f>
        <v>Octubre</v>
      </c>
      <c r="F69" s="319"/>
      <c r="G69" s="108">
        <f t="shared" si="6"/>
        <v>4</v>
      </c>
      <c r="H69" s="108">
        <f t="shared" si="7"/>
        <v>7</v>
      </c>
      <c r="I69" s="111">
        <f t="shared" si="8"/>
        <v>0</v>
      </c>
      <c r="J69" s="111">
        <v>5</v>
      </c>
      <c r="K69" s="111">
        <f t="shared" si="11"/>
        <v>15</v>
      </c>
      <c r="L69" s="111">
        <f t="shared" si="12"/>
        <v>0</v>
      </c>
      <c r="M69" s="143" t="str">
        <f t="shared" si="0"/>
        <v>LOTTT</v>
      </c>
      <c r="N69" s="108">
        <f t="shared" si="1"/>
        <v>15</v>
      </c>
      <c r="O69" s="321">
        <f t="shared" si="2"/>
        <v>0</v>
      </c>
      <c r="P69" s="322"/>
      <c r="Q69" s="321">
        <f t="shared" si="9"/>
        <v>0</v>
      </c>
      <c r="R69" s="173">
        <f>IF(ISNUMBER(VLOOKUP(E69,InteresPres!$B$2:$W$14,Prestaciones!C69-1997+2,0)),VLOOKUP(E69,InteresPres!$B$2:$W$14,Prestaciones!C69-1997+2,0),"0")/100</f>
        <v>0.18129999999999999</v>
      </c>
      <c r="S69" s="323">
        <f t="shared" si="3"/>
        <v>0</v>
      </c>
      <c r="T69" s="323">
        <f t="shared" si="10"/>
        <v>0</v>
      </c>
      <c r="U69" s="5"/>
    </row>
    <row r="70" spans="2:21" x14ac:dyDescent="0.25">
      <c r="B70" s="4"/>
      <c r="C70" s="108">
        <f t="shared" si="4"/>
        <v>2015</v>
      </c>
      <c r="D70" s="109">
        <f t="shared" si="5"/>
        <v>11</v>
      </c>
      <c r="E70" s="110" t="str">
        <f>VLOOKUP(D70,FECHAS!$A$3:$B$14,2,0)</f>
        <v>Noviembre</v>
      </c>
      <c r="F70" s="319"/>
      <c r="G70" s="108">
        <f t="shared" si="6"/>
        <v>4</v>
      </c>
      <c r="H70" s="108">
        <f t="shared" si="7"/>
        <v>8</v>
      </c>
      <c r="I70" s="111">
        <f t="shared" si="8"/>
        <v>0</v>
      </c>
      <c r="J70" s="111">
        <v>5</v>
      </c>
      <c r="K70" s="111">
        <f t="shared" si="11"/>
        <v>0</v>
      </c>
      <c r="L70" s="111">
        <f t="shared" si="12"/>
        <v>0</v>
      </c>
      <c r="M70" s="143" t="str">
        <f t="shared" si="0"/>
        <v>LOTTT</v>
      </c>
      <c r="N70" s="108">
        <f t="shared" si="1"/>
        <v>0</v>
      </c>
      <c r="O70" s="321">
        <f t="shared" si="2"/>
        <v>0</v>
      </c>
      <c r="P70" s="322"/>
      <c r="Q70" s="321">
        <f t="shared" si="9"/>
        <v>0</v>
      </c>
      <c r="R70" s="173">
        <f>IF(ISNUMBER(VLOOKUP(E70,InteresPres!$B$2:$W$14,Prestaciones!C70-1997+2,0)),VLOOKUP(E70,InteresPres!$B$2:$W$14,Prestaciones!C70-1997+2,0),"0")/100</f>
        <v>0.18160000000000001</v>
      </c>
      <c r="S70" s="323">
        <f t="shared" si="3"/>
        <v>0</v>
      </c>
      <c r="T70" s="323">
        <f t="shared" si="10"/>
        <v>0</v>
      </c>
      <c r="U70" s="5"/>
    </row>
    <row r="71" spans="2:21" x14ac:dyDescent="0.25">
      <c r="B71" s="4"/>
      <c r="C71" s="108">
        <f t="shared" si="4"/>
        <v>2015</v>
      </c>
      <c r="D71" s="109">
        <f t="shared" si="5"/>
        <v>12</v>
      </c>
      <c r="E71" s="110" t="str">
        <f>VLOOKUP(D71,FECHAS!$A$3:$B$14,2,0)</f>
        <v>Diciembre</v>
      </c>
      <c r="F71" s="319"/>
      <c r="G71" s="108">
        <f t="shared" si="6"/>
        <v>4</v>
      </c>
      <c r="H71" s="108">
        <f t="shared" si="7"/>
        <v>9</v>
      </c>
      <c r="I71" s="111">
        <f t="shared" si="8"/>
        <v>0</v>
      </c>
      <c r="J71" s="111">
        <v>5</v>
      </c>
      <c r="K71" s="111">
        <f t="shared" si="11"/>
        <v>0</v>
      </c>
      <c r="L71" s="111">
        <f t="shared" si="12"/>
        <v>0</v>
      </c>
      <c r="M71" s="143" t="str">
        <f t="shared" si="0"/>
        <v>LOTTT</v>
      </c>
      <c r="N71" s="108">
        <f t="shared" si="1"/>
        <v>0</v>
      </c>
      <c r="O71" s="321">
        <f t="shared" si="2"/>
        <v>0</v>
      </c>
      <c r="P71" s="322"/>
      <c r="Q71" s="321">
        <f t="shared" si="9"/>
        <v>0</v>
      </c>
      <c r="R71" s="173">
        <f>IF(ISNUMBER(VLOOKUP(E71,InteresPres!$B$2:$W$14,Prestaciones!C71-1997+2,0)),VLOOKUP(E71,InteresPres!$B$2:$W$14,Prestaciones!C71-1997+2,0),"0")/100</f>
        <v>0.18049999999999999</v>
      </c>
      <c r="S71" s="323">
        <f t="shared" si="3"/>
        <v>0</v>
      </c>
      <c r="T71" s="323">
        <f t="shared" si="10"/>
        <v>0</v>
      </c>
      <c r="U71" s="5"/>
    </row>
    <row r="72" spans="2:21" x14ac:dyDescent="0.25">
      <c r="B72" s="4"/>
      <c r="C72" s="108">
        <f t="shared" si="4"/>
        <v>2016</v>
      </c>
      <c r="D72" s="109">
        <f t="shared" si="5"/>
        <v>1</v>
      </c>
      <c r="E72" s="110" t="str">
        <f>VLOOKUP(D72,FECHAS!$A$3:$B$14,2,0)</f>
        <v>Enero</v>
      </c>
      <c r="F72" s="319"/>
      <c r="G72" s="108">
        <f t="shared" si="6"/>
        <v>4</v>
      </c>
      <c r="H72" s="108">
        <f t="shared" si="7"/>
        <v>10</v>
      </c>
      <c r="I72" s="111">
        <f t="shared" si="8"/>
        <v>0</v>
      </c>
      <c r="J72" s="111">
        <v>5</v>
      </c>
      <c r="K72" s="111">
        <f t="shared" si="11"/>
        <v>15</v>
      </c>
      <c r="L72" s="111">
        <f t="shared" si="12"/>
        <v>0</v>
      </c>
      <c r="M72" s="143" t="str">
        <f t="shared" si="0"/>
        <v>LOTTT</v>
      </c>
      <c r="N72" s="108">
        <f t="shared" si="1"/>
        <v>15</v>
      </c>
      <c r="O72" s="321">
        <f t="shared" si="2"/>
        <v>0</v>
      </c>
      <c r="P72" s="322"/>
      <c r="Q72" s="321">
        <f t="shared" si="9"/>
        <v>0</v>
      </c>
      <c r="R72" s="173">
        <f>IF(ISNUMBER(VLOOKUP(E72,InteresPres!$B$2:$W$14,Prestaciones!C72-1997+2,0)),VLOOKUP(E72,InteresPres!$B$2:$W$14,Prestaciones!C72-1997+2,0),"0")/100</f>
        <v>0.17859999999999998</v>
      </c>
      <c r="S72" s="323">
        <f t="shared" si="3"/>
        <v>0</v>
      </c>
      <c r="T72" s="323">
        <f t="shared" si="10"/>
        <v>0</v>
      </c>
      <c r="U72" s="5"/>
    </row>
    <row r="73" spans="2:21" x14ac:dyDescent="0.25">
      <c r="B73" s="4"/>
      <c r="C73" s="108">
        <f t="shared" si="4"/>
        <v>2016</v>
      </c>
      <c r="D73" s="109">
        <f t="shared" si="5"/>
        <v>2</v>
      </c>
      <c r="E73" s="110" t="str">
        <f>VLOOKUP(D73,FECHAS!$A$3:$B$14,2,0)</f>
        <v>Febrero</v>
      </c>
      <c r="F73" s="319"/>
      <c r="G73" s="108">
        <f t="shared" si="6"/>
        <v>4</v>
      </c>
      <c r="H73" s="108">
        <f t="shared" si="7"/>
        <v>11</v>
      </c>
      <c r="I73" s="111">
        <f t="shared" si="8"/>
        <v>0</v>
      </c>
      <c r="J73" s="111">
        <v>5</v>
      </c>
      <c r="K73" s="111">
        <f t="shared" si="11"/>
        <v>0</v>
      </c>
      <c r="L73" s="111">
        <f t="shared" si="12"/>
        <v>0</v>
      </c>
      <c r="M73" s="143" t="str">
        <f t="shared" si="0"/>
        <v>LOTTT</v>
      </c>
      <c r="N73" s="108">
        <f t="shared" si="1"/>
        <v>0</v>
      </c>
      <c r="O73" s="321">
        <f t="shared" si="2"/>
        <v>0</v>
      </c>
      <c r="P73" s="322"/>
      <c r="Q73" s="321">
        <f t="shared" si="9"/>
        <v>0</v>
      </c>
      <c r="R73" s="173">
        <f>IF(ISNUMBER(VLOOKUP(E73,InteresPres!$B$2:$W$14,Prestaciones!C73-1997+2,0)),VLOOKUP(E73,InteresPres!$B$2:$W$14,Prestaciones!C73-1997+2,0),"0")/100</f>
        <v>0.17050000000000001</v>
      </c>
      <c r="S73" s="323">
        <f t="shared" si="3"/>
        <v>0</v>
      </c>
      <c r="T73" s="323">
        <f t="shared" si="10"/>
        <v>0</v>
      </c>
      <c r="U73" s="5"/>
    </row>
    <row r="74" spans="2:21" x14ac:dyDescent="0.25">
      <c r="B74" s="4"/>
      <c r="C74" s="108">
        <f t="shared" si="4"/>
        <v>2016</v>
      </c>
      <c r="D74" s="109">
        <f t="shared" si="5"/>
        <v>3</v>
      </c>
      <c r="E74" s="110" t="str">
        <f>VLOOKUP(D74,FECHAS!$A$3:$B$14,2,0)</f>
        <v>Marzo</v>
      </c>
      <c r="F74" s="319"/>
      <c r="G74" s="108">
        <f t="shared" si="6"/>
        <v>5</v>
      </c>
      <c r="H74" s="108">
        <f t="shared" si="7"/>
        <v>0</v>
      </c>
      <c r="I74" s="111">
        <f t="shared" si="8"/>
        <v>8</v>
      </c>
      <c r="J74" s="111">
        <v>5</v>
      </c>
      <c r="K74" s="111">
        <f t="shared" si="11"/>
        <v>0</v>
      </c>
      <c r="L74" s="111">
        <f t="shared" si="12"/>
        <v>0</v>
      </c>
      <c r="M74" s="143" t="str">
        <f t="shared" si="0"/>
        <v>LOTTT</v>
      </c>
      <c r="N74" s="108">
        <f t="shared" si="1"/>
        <v>8</v>
      </c>
      <c r="O74" s="321">
        <f t="shared" si="2"/>
        <v>0</v>
      </c>
      <c r="P74" s="322"/>
      <c r="Q74" s="321">
        <f t="shared" si="9"/>
        <v>0</v>
      </c>
      <c r="R74" s="173">
        <f>IF(ISNUMBER(VLOOKUP(E74,InteresPres!$B$2:$W$14,Prestaciones!C74-1997+2,0)),VLOOKUP(E74,InteresPres!$B$2:$W$14,Prestaciones!C74-1997+2,0),"0")/100</f>
        <v>0.17929999999999999</v>
      </c>
      <c r="S74" s="323">
        <f t="shared" si="3"/>
        <v>0</v>
      </c>
      <c r="T74" s="323">
        <f t="shared" si="10"/>
        <v>0</v>
      </c>
      <c r="U74" s="5"/>
    </row>
    <row r="75" spans="2:21" x14ac:dyDescent="0.25">
      <c r="B75" s="4"/>
      <c r="C75" s="108">
        <f t="shared" si="4"/>
        <v>2016</v>
      </c>
      <c r="D75" s="109">
        <f t="shared" si="5"/>
        <v>4</v>
      </c>
      <c r="E75" s="110" t="str">
        <f>VLOOKUP(D75,FECHAS!$A$3:$B$14,2,0)</f>
        <v>Abril</v>
      </c>
      <c r="F75" s="319"/>
      <c r="G75" s="108">
        <f t="shared" si="6"/>
        <v>5</v>
      </c>
      <c r="H75" s="108">
        <f t="shared" si="7"/>
        <v>1</v>
      </c>
      <c r="I75" s="111">
        <f t="shared" si="8"/>
        <v>0</v>
      </c>
      <c r="J75" s="111">
        <v>5</v>
      </c>
      <c r="K75" s="111">
        <f t="shared" si="11"/>
        <v>15</v>
      </c>
      <c r="L75" s="111">
        <f t="shared" si="12"/>
        <v>0</v>
      </c>
      <c r="M75" s="143" t="str">
        <f t="shared" si="0"/>
        <v>LOTTT</v>
      </c>
      <c r="N75" s="108">
        <f t="shared" si="1"/>
        <v>15</v>
      </c>
      <c r="O75" s="321">
        <f t="shared" si="2"/>
        <v>0</v>
      </c>
      <c r="P75" s="322"/>
      <c r="Q75" s="321">
        <f t="shared" si="9"/>
        <v>0</v>
      </c>
      <c r="R75" s="173">
        <f>IF(ISNUMBER(VLOOKUP(E75,InteresPres!$B$2:$W$14,Prestaciones!C75-1997+2,0)),VLOOKUP(E75,InteresPres!$B$2:$W$14,Prestaciones!C75-1997+2,0),"0")/100</f>
        <v>0.17879999999999999</v>
      </c>
      <c r="S75" s="323">
        <f t="shared" si="3"/>
        <v>0</v>
      </c>
      <c r="T75" s="323">
        <f t="shared" si="10"/>
        <v>0</v>
      </c>
      <c r="U75" s="5"/>
    </row>
    <row r="76" spans="2:21" x14ac:dyDescent="0.25">
      <c r="B76" s="4"/>
      <c r="C76" s="108">
        <f t="shared" si="4"/>
        <v>2016</v>
      </c>
      <c r="D76" s="109">
        <f t="shared" si="5"/>
        <v>5</v>
      </c>
      <c r="E76" s="110" t="str">
        <f>VLOOKUP(D76,FECHAS!$A$3:$B$14,2,0)</f>
        <v>Mayo</v>
      </c>
      <c r="F76" s="319"/>
      <c r="G76" s="108">
        <f t="shared" si="6"/>
        <v>5</v>
      </c>
      <c r="H76" s="108">
        <f t="shared" si="7"/>
        <v>2</v>
      </c>
      <c r="I76" s="111">
        <f t="shared" si="8"/>
        <v>0</v>
      </c>
      <c r="J76" s="111">
        <v>5</v>
      </c>
      <c r="K76" s="111">
        <f t="shared" si="11"/>
        <v>0</v>
      </c>
      <c r="L76" s="111">
        <f t="shared" si="12"/>
        <v>0</v>
      </c>
      <c r="M76" s="143" t="str">
        <f t="shared" si="0"/>
        <v>LOTTT</v>
      </c>
      <c r="N76" s="108">
        <f t="shared" si="1"/>
        <v>0</v>
      </c>
      <c r="O76" s="321">
        <f t="shared" si="2"/>
        <v>0</v>
      </c>
      <c r="P76" s="322"/>
      <c r="Q76" s="321">
        <f t="shared" si="9"/>
        <v>0</v>
      </c>
      <c r="R76" s="173">
        <f>IF(ISNUMBER(VLOOKUP(E76,InteresPres!$B$2:$W$14,Prestaciones!C76-1997+2,0)),VLOOKUP(E76,InteresPres!$B$2:$W$14,Prestaciones!C76-1997+2,0),"0")/100</f>
        <v>0.18359999999999999</v>
      </c>
      <c r="S76" s="323">
        <f t="shared" si="3"/>
        <v>0</v>
      </c>
      <c r="T76" s="323">
        <f t="shared" si="10"/>
        <v>0</v>
      </c>
      <c r="U76" s="5"/>
    </row>
    <row r="77" spans="2:21" x14ac:dyDescent="0.25">
      <c r="B77" s="4"/>
      <c r="C77" s="108">
        <f t="shared" si="4"/>
        <v>2016</v>
      </c>
      <c r="D77" s="109">
        <f t="shared" si="5"/>
        <v>6</v>
      </c>
      <c r="E77" s="110" t="str">
        <f>VLOOKUP(D77,FECHAS!$A$3:$B$14,2,0)</f>
        <v>Junio</v>
      </c>
      <c r="F77" s="319"/>
      <c r="G77" s="108">
        <f t="shared" si="6"/>
        <v>5</v>
      </c>
      <c r="H77" s="108">
        <f t="shared" si="7"/>
        <v>3</v>
      </c>
      <c r="I77" s="111">
        <f t="shared" si="8"/>
        <v>0</v>
      </c>
      <c r="J77" s="111">
        <v>5</v>
      </c>
      <c r="K77" s="111">
        <f t="shared" si="11"/>
        <v>0</v>
      </c>
      <c r="L77" s="111">
        <f t="shared" si="12"/>
        <v>0</v>
      </c>
      <c r="M77" s="143" t="str">
        <f t="shared" si="0"/>
        <v>LOTTT</v>
      </c>
      <c r="N77" s="108">
        <f t="shared" si="1"/>
        <v>0</v>
      </c>
      <c r="O77" s="321">
        <f t="shared" si="2"/>
        <v>0</v>
      </c>
      <c r="P77" s="322"/>
      <c r="Q77" s="321">
        <f t="shared" si="9"/>
        <v>0</v>
      </c>
      <c r="R77" s="173">
        <f>IF(ISNUMBER(VLOOKUP(E77,InteresPres!$B$2:$W$14,Prestaciones!C77-1997+2,0)),VLOOKUP(E77,InteresPres!$B$2:$W$14,Prestaciones!C77-1997+2,0),"0")/100</f>
        <v>0.1812</v>
      </c>
      <c r="S77" s="323">
        <f t="shared" si="3"/>
        <v>0</v>
      </c>
      <c r="T77" s="323">
        <f t="shared" si="10"/>
        <v>0</v>
      </c>
      <c r="U77" s="5"/>
    </row>
    <row r="78" spans="2:21" x14ac:dyDescent="0.25">
      <c r="B78" s="4"/>
      <c r="C78" s="108">
        <f t="shared" si="4"/>
        <v>2016</v>
      </c>
      <c r="D78" s="109">
        <f t="shared" si="5"/>
        <v>7</v>
      </c>
      <c r="E78" s="110" t="str">
        <f>VLOOKUP(D78,FECHAS!$A$3:$B$14,2,0)</f>
        <v>Julio</v>
      </c>
      <c r="F78" s="319"/>
      <c r="G78" s="108">
        <f t="shared" si="6"/>
        <v>5</v>
      </c>
      <c r="H78" s="108">
        <f t="shared" si="7"/>
        <v>4</v>
      </c>
      <c r="I78" s="111">
        <f t="shared" si="8"/>
        <v>0</v>
      </c>
      <c r="J78" s="111">
        <v>5</v>
      </c>
      <c r="K78" s="111">
        <f t="shared" si="11"/>
        <v>15</v>
      </c>
      <c r="L78" s="111">
        <f t="shared" si="12"/>
        <v>0</v>
      </c>
      <c r="M78" s="143" t="str">
        <f t="shared" si="0"/>
        <v>LOTTT</v>
      </c>
      <c r="N78" s="108">
        <f t="shared" si="1"/>
        <v>15</v>
      </c>
      <c r="O78" s="321">
        <f t="shared" si="2"/>
        <v>0</v>
      </c>
      <c r="P78" s="322"/>
      <c r="Q78" s="321">
        <f t="shared" si="9"/>
        <v>0</v>
      </c>
      <c r="R78" s="173">
        <f>IF(ISNUMBER(VLOOKUP(E78,InteresPres!$B$2:$W$14,Prestaciones!C78-1997+2,0)),VLOOKUP(E78,InteresPres!$B$2:$W$14,Prestaciones!C78-1997+2,0),"0")/100</f>
        <v>0.1807</v>
      </c>
      <c r="S78" s="323">
        <f t="shared" si="3"/>
        <v>0</v>
      </c>
      <c r="T78" s="323">
        <f t="shared" si="10"/>
        <v>0</v>
      </c>
      <c r="U78" s="5"/>
    </row>
    <row r="79" spans="2:21" x14ac:dyDescent="0.25">
      <c r="B79" s="4"/>
      <c r="C79" s="108">
        <f t="shared" si="4"/>
        <v>2016</v>
      </c>
      <c r="D79" s="109">
        <f t="shared" si="5"/>
        <v>8</v>
      </c>
      <c r="E79" s="110" t="str">
        <f>VLOOKUP(D79,FECHAS!$A$3:$B$14,2,0)</f>
        <v>Agosto</v>
      </c>
      <c r="F79" s="319"/>
      <c r="G79" s="108">
        <f t="shared" si="6"/>
        <v>5</v>
      </c>
      <c r="H79" s="108">
        <f t="shared" si="7"/>
        <v>5</v>
      </c>
      <c r="I79" s="111">
        <f t="shared" si="8"/>
        <v>0</v>
      </c>
      <c r="J79" s="111">
        <v>5</v>
      </c>
      <c r="K79" s="111">
        <f t="shared" si="11"/>
        <v>0</v>
      </c>
      <c r="L79" s="111">
        <f t="shared" si="12"/>
        <v>0</v>
      </c>
      <c r="M79" s="143" t="str">
        <f t="shared" ref="M79:M142" si="13">IF(OR(AND(C79&gt;=2012,D79&gt;=5),C79&gt;2012),"LOTTT","LOT")</f>
        <v>LOTTT</v>
      </c>
      <c r="N79" s="108">
        <f t="shared" ref="N79:N142" si="14">IF(M79="LOT",I79+J79,I79+K79)</f>
        <v>0</v>
      </c>
      <c r="O79" s="321">
        <f t="shared" ref="O79:O142" si="15">(F79/30)*N79</f>
        <v>0</v>
      </c>
      <c r="P79" s="322"/>
      <c r="Q79" s="321">
        <f t="shared" si="9"/>
        <v>0</v>
      </c>
      <c r="R79" s="173">
        <f>IF(ISNUMBER(VLOOKUP(E79,InteresPres!$B$2:$W$14,Prestaciones!C79-1997+2,0)),VLOOKUP(E79,InteresPres!$B$2:$W$14,Prestaciones!C79-1997+2,0),"0")/100</f>
        <v>0.18539999999999998</v>
      </c>
      <c r="S79" s="323">
        <f t="shared" ref="S79:S142" si="16">IF(F79&gt;0,(R79/12)*Q79,0)</f>
        <v>0</v>
      </c>
      <c r="T79" s="323">
        <f t="shared" si="10"/>
        <v>0</v>
      </c>
      <c r="U79" s="5"/>
    </row>
    <row r="80" spans="2:21" x14ac:dyDescent="0.25">
      <c r="B80" s="4"/>
      <c r="C80" s="108">
        <f t="shared" ref="C80:C143" si="17">IF(D79=12,C79+1,C79)</f>
        <v>2016</v>
      </c>
      <c r="D80" s="109">
        <f t="shared" ref="D80:D143" si="18">IF(D79=12,1,D79+1)</f>
        <v>9</v>
      </c>
      <c r="E80" s="110" t="str">
        <f>VLOOKUP(D80,FECHAS!$A$3:$B$14,2,0)</f>
        <v>Septiembre</v>
      </c>
      <c r="F80" s="319"/>
      <c r="G80" s="108">
        <f t="shared" ref="G80:G102" si="19">IF(H79=11,G79+1,G79)</f>
        <v>5</v>
      </c>
      <c r="H80" s="108">
        <f t="shared" ref="H80:H85" si="20">IF(H79=11,0,H79+1)</f>
        <v>6</v>
      </c>
      <c r="I80" s="111">
        <f t="shared" ref="I80:I143" si="21">lottt192(G80,H79)</f>
        <v>0</v>
      </c>
      <c r="J80" s="111">
        <v>5</v>
      </c>
      <c r="K80" s="111">
        <f t="shared" si="11"/>
        <v>0</v>
      </c>
      <c r="L80" s="111">
        <f t="shared" si="12"/>
        <v>0</v>
      </c>
      <c r="M80" s="143" t="str">
        <f t="shared" si="13"/>
        <v>LOTTT</v>
      </c>
      <c r="N80" s="108">
        <f t="shared" si="14"/>
        <v>0</v>
      </c>
      <c r="O80" s="321">
        <f t="shared" si="15"/>
        <v>0</v>
      </c>
      <c r="P80" s="322"/>
      <c r="Q80" s="321">
        <f t="shared" ref="Q80:Q143" si="22">IF(F80&gt;0,O80+Q79+P80,0)</f>
        <v>0</v>
      </c>
      <c r="R80" s="173">
        <f>IF(ISNUMBER(VLOOKUP(E80,InteresPres!$B$2:$W$14,Prestaciones!C80-1997+2,0)),VLOOKUP(E80,InteresPres!$B$2:$W$14,Prestaciones!C80-1997+2,0),"0")/100</f>
        <v>0.1825</v>
      </c>
      <c r="S80" s="323">
        <f t="shared" si="16"/>
        <v>0</v>
      </c>
      <c r="T80" s="323">
        <f t="shared" ref="T80:T143" si="23">IF(F80&gt;0,S80+T79,0)</f>
        <v>0</v>
      </c>
      <c r="U80" s="5"/>
    </row>
    <row r="81" spans="2:21" x14ac:dyDescent="0.25">
      <c r="B81" s="4"/>
      <c r="C81" s="108">
        <f t="shared" si="17"/>
        <v>2016</v>
      </c>
      <c r="D81" s="109">
        <f t="shared" si="18"/>
        <v>10</v>
      </c>
      <c r="E81" s="110" t="str">
        <f>VLOOKUP(D81,FECHAS!$A$3:$B$14,2,0)</f>
        <v>Octubre</v>
      </c>
      <c r="F81" s="319"/>
      <c r="G81" s="108">
        <f t="shared" si="19"/>
        <v>5</v>
      </c>
      <c r="H81" s="108">
        <f t="shared" si="20"/>
        <v>7</v>
      </c>
      <c r="I81" s="111">
        <f t="shared" si="21"/>
        <v>0</v>
      </c>
      <c r="J81" s="111">
        <v>5</v>
      </c>
      <c r="K81" s="111">
        <f t="shared" ref="K81:K144" si="24">IF(OR(D81=7,D81=10,D81=1,D81=4),15,0)</f>
        <v>15</v>
      </c>
      <c r="L81" s="111">
        <f t="shared" ref="L81:L144" si="25">IF(AND(C81=2012,D81=6),-5,0)</f>
        <v>0</v>
      </c>
      <c r="M81" s="143" t="str">
        <f t="shared" si="13"/>
        <v>LOTTT</v>
      </c>
      <c r="N81" s="108">
        <f t="shared" si="14"/>
        <v>15</v>
      </c>
      <c r="O81" s="321">
        <f t="shared" si="15"/>
        <v>0</v>
      </c>
      <c r="P81" s="322"/>
      <c r="Q81" s="321">
        <f t="shared" si="22"/>
        <v>0</v>
      </c>
      <c r="R81" s="173">
        <f>IF(ISNUMBER(VLOOKUP(E81,InteresPres!$B$2:$W$14,Prestaciones!C81-1997+2,0)),VLOOKUP(E81,InteresPres!$B$2:$W$14,Prestaciones!C81-1997+2,0),"0")/100</f>
        <v>0.18690000000000001</v>
      </c>
      <c r="S81" s="323">
        <f t="shared" si="16"/>
        <v>0</v>
      </c>
      <c r="T81" s="323">
        <f t="shared" si="23"/>
        <v>0</v>
      </c>
      <c r="U81" s="5"/>
    </row>
    <row r="82" spans="2:21" x14ac:dyDescent="0.25">
      <c r="B82" s="4"/>
      <c r="C82" s="108">
        <f t="shared" si="17"/>
        <v>2016</v>
      </c>
      <c r="D82" s="109">
        <f t="shared" si="18"/>
        <v>11</v>
      </c>
      <c r="E82" s="110" t="str">
        <f>VLOOKUP(D82,FECHAS!$A$3:$B$14,2,0)</f>
        <v>Noviembre</v>
      </c>
      <c r="F82" s="319"/>
      <c r="G82" s="108">
        <f t="shared" si="19"/>
        <v>5</v>
      </c>
      <c r="H82" s="108">
        <f t="shared" si="20"/>
        <v>8</v>
      </c>
      <c r="I82" s="111">
        <f t="shared" si="21"/>
        <v>0</v>
      </c>
      <c r="J82" s="111">
        <v>5</v>
      </c>
      <c r="K82" s="111">
        <f t="shared" si="24"/>
        <v>0</v>
      </c>
      <c r="L82" s="111">
        <f t="shared" si="25"/>
        <v>0</v>
      </c>
      <c r="M82" s="143" t="str">
        <f t="shared" si="13"/>
        <v>LOTTT</v>
      </c>
      <c r="N82" s="108">
        <f t="shared" si="14"/>
        <v>0</v>
      </c>
      <c r="O82" s="321">
        <f t="shared" si="15"/>
        <v>0</v>
      </c>
      <c r="P82" s="322"/>
      <c r="Q82" s="321">
        <f t="shared" si="22"/>
        <v>0</v>
      </c>
      <c r="R82" s="173">
        <f>IF(ISNUMBER(VLOOKUP(E82,InteresPres!$B$2:$W$14,Prestaciones!C82-1997+2,0)),VLOOKUP(E82,InteresPres!$B$2:$W$14,Prestaciones!C82-1997+2,0),"0")/100</f>
        <v>0.18600000000000003</v>
      </c>
      <c r="S82" s="323">
        <f t="shared" si="16"/>
        <v>0</v>
      </c>
      <c r="T82" s="323">
        <f t="shared" si="23"/>
        <v>0</v>
      </c>
      <c r="U82" s="5"/>
    </row>
    <row r="83" spans="2:21" x14ac:dyDescent="0.25">
      <c r="B83" s="4"/>
      <c r="C83" s="108">
        <f t="shared" si="17"/>
        <v>2016</v>
      </c>
      <c r="D83" s="109">
        <f t="shared" si="18"/>
        <v>12</v>
      </c>
      <c r="E83" s="110" t="str">
        <f>VLOOKUP(D83,FECHAS!$A$3:$B$14,2,0)</f>
        <v>Diciembre</v>
      </c>
      <c r="F83" s="319"/>
      <c r="G83" s="108">
        <f t="shared" si="19"/>
        <v>5</v>
      </c>
      <c r="H83" s="108">
        <f t="shared" si="20"/>
        <v>9</v>
      </c>
      <c r="I83" s="111">
        <f t="shared" si="21"/>
        <v>0</v>
      </c>
      <c r="J83" s="111">
        <v>5</v>
      </c>
      <c r="K83" s="111">
        <f t="shared" si="24"/>
        <v>0</v>
      </c>
      <c r="L83" s="111">
        <f t="shared" si="25"/>
        <v>0</v>
      </c>
      <c r="M83" s="143" t="str">
        <f t="shared" si="13"/>
        <v>LOTTT</v>
      </c>
      <c r="N83" s="108">
        <f t="shared" si="14"/>
        <v>0</v>
      </c>
      <c r="O83" s="321">
        <f t="shared" si="15"/>
        <v>0</v>
      </c>
      <c r="P83" s="322"/>
      <c r="Q83" s="321">
        <f t="shared" si="22"/>
        <v>0</v>
      </c>
      <c r="R83" s="173">
        <f>IF(ISNUMBER(VLOOKUP(E83,InteresPres!$B$2:$W$14,Prestaciones!C83-1997+2,0)),VLOOKUP(E83,InteresPres!$B$2:$W$14,Prestaciones!C83-1997+2,0),"0")/100</f>
        <v>0.18710000000000002</v>
      </c>
      <c r="S83" s="323">
        <f t="shared" si="16"/>
        <v>0</v>
      </c>
      <c r="T83" s="323">
        <f t="shared" si="23"/>
        <v>0</v>
      </c>
      <c r="U83" s="5"/>
    </row>
    <row r="84" spans="2:21" x14ac:dyDescent="0.25">
      <c r="B84" s="4"/>
      <c r="C84" s="108">
        <f t="shared" si="17"/>
        <v>2017</v>
      </c>
      <c r="D84" s="109">
        <f t="shared" si="18"/>
        <v>1</v>
      </c>
      <c r="E84" s="110" t="str">
        <f>VLOOKUP(D84,FECHAS!$A$3:$B$14,2,0)</f>
        <v>Enero</v>
      </c>
      <c r="F84" s="319"/>
      <c r="G84" s="108">
        <f t="shared" si="19"/>
        <v>5</v>
      </c>
      <c r="H84" s="108">
        <f t="shared" si="20"/>
        <v>10</v>
      </c>
      <c r="I84" s="111">
        <f t="shared" si="21"/>
        <v>0</v>
      </c>
      <c r="J84" s="111">
        <v>5</v>
      </c>
      <c r="K84" s="111">
        <f t="shared" si="24"/>
        <v>15</v>
      </c>
      <c r="L84" s="111">
        <f t="shared" si="25"/>
        <v>0</v>
      </c>
      <c r="M84" s="143" t="str">
        <f t="shared" si="13"/>
        <v>LOTTT</v>
      </c>
      <c r="N84" s="108">
        <f t="shared" si="14"/>
        <v>15</v>
      </c>
      <c r="O84" s="321">
        <f t="shared" si="15"/>
        <v>0</v>
      </c>
      <c r="P84" s="322"/>
      <c r="Q84" s="321">
        <f t="shared" si="22"/>
        <v>0</v>
      </c>
      <c r="R84" s="173">
        <f>IF(ISNUMBER(VLOOKUP(E84,InteresPres!$B$2:$W$14,Prestaciones!C84-1997+2,0)),VLOOKUP(E84,InteresPres!$B$2:$W$14,Prestaciones!C84-1997+2,0),"0")/100</f>
        <v>0</v>
      </c>
      <c r="S84" s="323">
        <f t="shared" si="16"/>
        <v>0</v>
      </c>
      <c r="T84" s="323">
        <f t="shared" si="23"/>
        <v>0</v>
      </c>
      <c r="U84" s="5"/>
    </row>
    <row r="85" spans="2:21" x14ac:dyDescent="0.25">
      <c r="B85" s="4"/>
      <c r="C85" s="108">
        <f t="shared" si="17"/>
        <v>2017</v>
      </c>
      <c r="D85" s="109">
        <f t="shared" si="18"/>
        <v>2</v>
      </c>
      <c r="E85" s="110" t="str">
        <f>VLOOKUP(D85,FECHAS!$A$3:$B$14,2,0)</f>
        <v>Febrero</v>
      </c>
      <c r="F85" s="319"/>
      <c r="G85" s="108">
        <f t="shared" si="19"/>
        <v>5</v>
      </c>
      <c r="H85" s="108">
        <f t="shared" si="20"/>
        <v>11</v>
      </c>
      <c r="I85" s="111">
        <f t="shared" si="21"/>
        <v>0</v>
      </c>
      <c r="J85" s="111">
        <v>5</v>
      </c>
      <c r="K85" s="111">
        <f t="shared" si="24"/>
        <v>0</v>
      </c>
      <c r="L85" s="111">
        <f t="shared" si="25"/>
        <v>0</v>
      </c>
      <c r="M85" s="143" t="str">
        <f t="shared" si="13"/>
        <v>LOTTT</v>
      </c>
      <c r="N85" s="108">
        <f t="shared" si="14"/>
        <v>0</v>
      </c>
      <c r="O85" s="321">
        <f t="shared" si="15"/>
        <v>0</v>
      </c>
      <c r="P85" s="322"/>
      <c r="Q85" s="321">
        <f t="shared" si="22"/>
        <v>0</v>
      </c>
      <c r="R85" s="173">
        <f>IF(ISNUMBER(VLOOKUP(E85,InteresPres!$B$2:$W$14,Prestaciones!C85-1997+2,0)),VLOOKUP(E85,InteresPres!$B$2:$W$14,Prestaciones!C85-1997+2,0),"0")/100</f>
        <v>0</v>
      </c>
      <c r="S85" s="323">
        <f t="shared" si="16"/>
        <v>0</v>
      </c>
      <c r="T85" s="323">
        <f t="shared" si="23"/>
        <v>0</v>
      </c>
      <c r="U85" s="5"/>
    </row>
    <row r="86" spans="2:21" x14ac:dyDescent="0.25">
      <c r="B86" s="4"/>
      <c r="C86" s="108">
        <f t="shared" si="17"/>
        <v>2017</v>
      </c>
      <c r="D86" s="109">
        <f t="shared" si="18"/>
        <v>3</v>
      </c>
      <c r="E86" s="110" t="str">
        <f>VLOOKUP(D86,FECHAS!$A$3:$B$14,2,0)</f>
        <v>Marzo</v>
      </c>
      <c r="F86" s="319"/>
      <c r="G86" s="108">
        <f t="shared" si="19"/>
        <v>6</v>
      </c>
      <c r="H86" s="108">
        <f t="shared" ref="H86:H102" si="26">IF(H85=11,0,H85+1)</f>
        <v>0</v>
      </c>
      <c r="I86" s="111">
        <f t="shared" si="21"/>
        <v>10</v>
      </c>
      <c r="J86" s="111">
        <v>5</v>
      </c>
      <c r="K86" s="111">
        <f t="shared" si="24"/>
        <v>0</v>
      </c>
      <c r="L86" s="111">
        <f t="shared" si="25"/>
        <v>0</v>
      </c>
      <c r="M86" s="143" t="str">
        <f t="shared" si="13"/>
        <v>LOTTT</v>
      </c>
      <c r="N86" s="108">
        <f t="shared" si="14"/>
        <v>10</v>
      </c>
      <c r="O86" s="321">
        <f t="shared" si="15"/>
        <v>0</v>
      </c>
      <c r="P86" s="322"/>
      <c r="Q86" s="321">
        <f t="shared" si="22"/>
        <v>0</v>
      </c>
      <c r="R86" s="173">
        <f>IF(ISNUMBER(VLOOKUP(E86,InteresPres!$B$2:$W$14,Prestaciones!C86-1997+2,0)),VLOOKUP(E86,InteresPres!$B$2:$W$14,Prestaciones!C86-1997+2,0),"0")/100</f>
        <v>0</v>
      </c>
      <c r="S86" s="323">
        <f t="shared" si="16"/>
        <v>0</v>
      </c>
      <c r="T86" s="323">
        <f t="shared" si="23"/>
        <v>0</v>
      </c>
      <c r="U86" s="5"/>
    </row>
    <row r="87" spans="2:21" x14ac:dyDescent="0.25">
      <c r="B87" s="4"/>
      <c r="C87" s="108">
        <f t="shared" si="17"/>
        <v>2017</v>
      </c>
      <c r="D87" s="109">
        <f t="shared" si="18"/>
        <v>4</v>
      </c>
      <c r="E87" s="110" t="str">
        <f>VLOOKUP(D87,FECHAS!$A$3:$B$14,2,0)</f>
        <v>Abril</v>
      </c>
      <c r="F87" s="319"/>
      <c r="G87" s="108">
        <f t="shared" si="19"/>
        <v>6</v>
      </c>
      <c r="H87" s="108">
        <f t="shared" si="26"/>
        <v>1</v>
      </c>
      <c r="I87" s="111">
        <f t="shared" si="21"/>
        <v>0</v>
      </c>
      <c r="J87" s="111">
        <v>5</v>
      </c>
      <c r="K87" s="111">
        <f t="shared" si="24"/>
        <v>15</v>
      </c>
      <c r="L87" s="111">
        <f t="shared" si="25"/>
        <v>0</v>
      </c>
      <c r="M87" s="143" t="str">
        <f t="shared" si="13"/>
        <v>LOTTT</v>
      </c>
      <c r="N87" s="108">
        <f t="shared" si="14"/>
        <v>15</v>
      </c>
      <c r="O87" s="321">
        <f t="shared" si="15"/>
        <v>0</v>
      </c>
      <c r="P87" s="322"/>
      <c r="Q87" s="321">
        <f t="shared" si="22"/>
        <v>0</v>
      </c>
      <c r="R87" s="173">
        <f>IF(ISNUMBER(VLOOKUP(E87,InteresPres!$B$2:$W$14,Prestaciones!C87-1997+2,0)),VLOOKUP(E87,InteresPres!$B$2:$W$14,Prestaciones!C87-1997+2,0),"0")/100</f>
        <v>0</v>
      </c>
      <c r="S87" s="323">
        <f t="shared" si="16"/>
        <v>0</v>
      </c>
      <c r="T87" s="323">
        <f t="shared" si="23"/>
        <v>0</v>
      </c>
      <c r="U87" s="5"/>
    </row>
    <row r="88" spans="2:21" x14ac:dyDescent="0.25">
      <c r="B88" s="4"/>
      <c r="C88" s="108">
        <f t="shared" si="17"/>
        <v>2017</v>
      </c>
      <c r="D88" s="109">
        <f t="shared" si="18"/>
        <v>5</v>
      </c>
      <c r="E88" s="110" t="str">
        <f>VLOOKUP(D88,FECHAS!$A$3:$B$14,2,0)</f>
        <v>Mayo</v>
      </c>
      <c r="F88" s="319"/>
      <c r="G88" s="108">
        <f t="shared" si="19"/>
        <v>6</v>
      </c>
      <c r="H88" s="108">
        <f t="shared" si="26"/>
        <v>2</v>
      </c>
      <c r="I88" s="111">
        <f t="shared" si="21"/>
        <v>0</v>
      </c>
      <c r="J88" s="111">
        <v>5</v>
      </c>
      <c r="K88" s="111">
        <f t="shared" si="24"/>
        <v>0</v>
      </c>
      <c r="L88" s="111">
        <f t="shared" si="25"/>
        <v>0</v>
      </c>
      <c r="M88" s="143" t="str">
        <f t="shared" si="13"/>
        <v>LOTTT</v>
      </c>
      <c r="N88" s="108">
        <f t="shared" si="14"/>
        <v>0</v>
      </c>
      <c r="O88" s="321">
        <f t="shared" si="15"/>
        <v>0</v>
      </c>
      <c r="P88" s="322"/>
      <c r="Q88" s="321">
        <f t="shared" si="22"/>
        <v>0</v>
      </c>
      <c r="R88" s="173">
        <f>IF(ISNUMBER(VLOOKUP(E88,InteresPres!$B$2:$W$14,Prestaciones!C88-1997+2,0)),VLOOKUP(E88,InteresPres!$B$2:$W$14,Prestaciones!C88-1997+2,0),"0")/100</f>
        <v>0</v>
      </c>
      <c r="S88" s="323">
        <f t="shared" si="16"/>
        <v>0</v>
      </c>
      <c r="T88" s="323">
        <f t="shared" si="23"/>
        <v>0</v>
      </c>
      <c r="U88" s="5"/>
    </row>
    <row r="89" spans="2:21" x14ac:dyDescent="0.25">
      <c r="B89" s="4"/>
      <c r="C89" s="108">
        <f t="shared" si="17"/>
        <v>2017</v>
      </c>
      <c r="D89" s="109">
        <f t="shared" si="18"/>
        <v>6</v>
      </c>
      <c r="E89" s="110" t="str">
        <f>VLOOKUP(D89,FECHAS!$A$3:$B$14,2,0)</f>
        <v>Junio</v>
      </c>
      <c r="F89" s="319"/>
      <c r="G89" s="108">
        <f t="shared" si="19"/>
        <v>6</v>
      </c>
      <c r="H89" s="108">
        <f t="shared" si="26"/>
        <v>3</v>
      </c>
      <c r="I89" s="111">
        <f t="shared" si="21"/>
        <v>0</v>
      </c>
      <c r="J89" s="111">
        <v>5</v>
      </c>
      <c r="K89" s="111">
        <f t="shared" si="24"/>
        <v>0</v>
      </c>
      <c r="L89" s="111">
        <f t="shared" si="25"/>
        <v>0</v>
      </c>
      <c r="M89" s="143" t="str">
        <f t="shared" si="13"/>
        <v>LOTTT</v>
      </c>
      <c r="N89" s="108">
        <f t="shared" si="14"/>
        <v>0</v>
      </c>
      <c r="O89" s="321">
        <f t="shared" si="15"/>
        <v>0</v>
      </c>
      <c r="P89" s="322"/>
      <c r="Q89" s="321">
        <f t="shared" si="22"/>
        <v>0</v>
      </c>
      <c r="R89" s="173">
        <f>IF(ISNUMBER(VLOOKUP(E89,InteresPres!$B$2:$W$14,Prestaciones!C89-1997+2,0)),VLOOKUP(E89,InteresPres!$B$2:$W$14,Prestaciones!C89-1997+2,0),"0")/100</f>
        <v>0</v>
      </c>
      <c r="S89" s="323">
        <f t="shared" si="16"/>
        <v>0</v>
      </c>
      <c r="T89" s="323">
        <f t="shared" si="23"/>
        <v>0</v>
      </c>
      <c r="U89" s="5"/>
    </row>
    <row r="90" spans="2:21" x14ac:dyDescent="0.25">
      <c r="B90" s="4"/>
      <c r="C90" s="108">
        <f t="shared" si="17"/>
        <v>2017</v>
      </c>
      <c r="D90" s="109">
        <f t="shared" si="18"/>
        <v>7</v>
      </c>
      <c r="E90" s="110" t="str">
        <f>VLOOKUP(D90,FECHAS!$A$3:$B$14,2,0)</f>
        <v>Julio</v>
      </c>
      <c r="F90" s="319"/>
      <c r="G90" s="108">
        <f t="shared" si="19"/>
        <v>6</v>
      </c>
      <c r="H90" s="108">
        <f t="shared" si="26"/>
        <v>4</v>
      </c>
      <c r="I90" s="111">
        <f t="shared" si="21"/>
        <v>0</v>
      </c>
      <c r="J90" s="111">
        <v>5</v>
      </c>
      <c r="K90" s="111">
        <f t="shared" si="24"/>
        <v>15</v>
      </c>
      <c r="L90" s="111">
        <f t="shared" si="25"/>
        <v>0</v>
      </c>
      <c r="M90" s="143" t="str">
        <f t="shared" si="13"/>
        <v>LOTTT</v>
      </c>
      <c r="N90" s="108">
        <f t="shared" si="14"/>
        <v>15</v>
      </c>
      <c r="O90" s="321">
        <f t="shared" si="15"/>
        <v>0</v>
      </c>
      <c r="P90" s="322"/>
      <c r="Q90" s="321">
        <f t="shared" si="22"/>
        <v>0</v>
      </c>
      <c r="R90" s="173">
        <f>IF(ISNUMBER(VLOOKUP(E90,InteresPres!$B$2:$W$14,Prestaciones!C90-1997+2,0)),VLOOKUP(E90,InteresPres!$B$2:$W$14,Prestaciones!C90-1997+2,0),"0")/100</f>
        <v>0</v>
      </c>
      <c r="S90" s="323">
        <f t="shared" si="16"/>
        <v>0</v>
      </c>
      <c r="T90" s="323">
        <f t="shared" si="23"/>
        <v>0</v>
      </c>
      <c r="U90" s="5"/>
    </row>
    <row r="91" spans="2:21" x14ac:dyDescent="0.25">
      <c r="B91" s="4"/>
      <c r="C91" s="108">
        <f t="shared" si="17"/>
        <v>2017</v>
      </c>
      <c r="D91" s="109">
        <f t="shared" si="18"/>
        <v>8</v>
      </c>
      <c r="E91" s="110" t="str">
        <f>VLOOKUP(D91,FECHAS!$A$3:$B$14,2,0)</f>
        <v>Agosto</v>
      </c>
      <c r="F91" s="319"/>
      <c r="G91" s="108">
        <f t="shared" si="19"/>
        <v>6</v>
      </c>
      <c r="H91" s="108">
        <f t="shared" si="26"/>
        <v>5</v>
      </c>
      <c r="I91" s="111">
        <f t="shared" si="21"/>
        <v>0</v>
      </c>
      <c r="J91" s="111">
        <v>5</v>
      </c>
      <c r="K91" s="111">
        <f t="shared" si="24"/>
        <v>0</v>
      </c>
      <c r="L91" s="111">
        <f t="shared" si="25"/>
        <v>0</v>
      </c>
      <c r="M91" s="143" t="str">
        <f t="shared" si="13"/>
        <v>LOTTT</v>
      </c>
      <c r="N91" s="108">
        <f t="shared" si="14"/>
        <v>0</v>
      </c>
      <c r="O91" s="321">
        <f t="shared" si="15"/>
        <v>0</v>
      </c>
      <c r="P91" s="322"/>
      <c r="Q91" s="321">
        <f t="shared" si="22"/>
        <v>0</v>
      </c>
      <c r="R91" s="173">
        <f>IF(ISNUMBER(VLOOKUP(E91,InteresPres!$B$2:$W$14,Prestaciones!C91-1997+2,0)),VLOOKUP(E91,InteresPres!$B$2:$W$14,Prestaciones!C91-1997+2,0),"0")/100</f>
        <v>0</v>
      </c>
      <c r="S91" s="323">
        <f t="shared" si="16"/>
        <v>0</v>
      </c>
      <c r="T91" s="323">
        <f t="shared" si="23"/>
        <v>0</v>
      </c>
      <c r="U91" s="5"/>
    </row>
    <row r="92" spans="2:21" x14ac:dyDescent="0.25">
      <c r="B92" s="4"/>
      <c r="C92" s="108">
        <f t="shared" si="17"/>
        <v>2017</v>
      </c>
      <c r="D92" s="109">
        <f t="shared" si="18"/>
        <v>9</v>
      </c>
      <c r="E92" s="110" t="str">
        <f>VLOOKUP(D92,FECHAS!$A$3:$B$14,2,0)</f>
        <v>Septiembre</v>
      </c>
      <c r="F92" s="319"/>
      <c r="G92" s="108">
        <f t="shared" si="19"/>
        <v>6</v>
      </c>
      <c r="H92" s="108">
        <f t="shared" si="26"/>
        <v>6</v>
      </c>
      <c r="I92" s="111">
        <f t="shared" si="21"/>
        <v>0</v>
      </c>
      <c r="J92" s="111">
        <v>5</v>
      </c>
      <c r="K92" s="111">
        <f t="shared" si="24"/>
        <v>0</v>
      </c>
      <c r="L92" s="111">
        <f t="shared" si="25"/>
        <v>0</v>
      </c>
      <c r="M92" s="143" t="str">
        <f t="shared" si="13"/>
        <v>LOTTT</v>
      </c>
      <c r="N92" s="108">
        <f t="shared" si="14"/>
        <v>0</v>
      </c>
      <c r="O92" s="321">
        <f t="shared" si="15"/>
        <v>0</v>
      </c>
      <c r="P92" s="322"/>
      <c r="Q92" s="321">
        <f t="shared" si="22"/>
        <v>0</v>
      </c>
      <c r="R92" s="173">
        <f>IF(ISNUMBER(VLOOKUP(E92,InteresPres!$B$2:$W$14,Prestaciones!C92-1997+2,0)),VLOOKUP(E92,InteresPres!$B$2:$W$14,Prestaciones!C92-1997+2,0),"0")/100</f>
        <v>0</v>
      </c>
      <c r="S92" s="323">
        <f t="shared" si="16"/>
        <v>0</v>
      </c>
      <c r="T92" s="323">
        <f t="shared" si="23"/>
        <v>0</v>
      </c>
      <c r="U92" s="5"/>
    </row>
    <row r="93" spans="2:21" x14ac:dyDescent="0.25">
      <c r="B93" s="4"/>
      <c r="C93" s="108">
        <f t="shared" si="17"/>
        <v>2017</v>
      </c>
      <c r="D93" s="109">
        <f t="shared" si="18"/>
        <v>10</v>
      </c>
      <c r="E93" s="110" t="str">
        <f>VLOOKUP(D93,FECHAS!$A$3:$B$14,2,0)</f>
        <v>Octubre</v>
      </c>
      <c r="F93" s="319"/>
      <c r="G93" s="108">
        <f t="shared" si="19"/>
        <v>6</v>
      </c>
      <c r="H93" s="108">
        <f t="shared" si="26"/>
        <v>7</v>
      </c>
      <c r="I93" s="111">
        <f t="shared" si="21"/>
        <v>0</v>
      </c>
      <c r="J93" s="111">
        <v>5</v>
      </c>
      <c r="K93" s="111">
        <f t="shared" si="24"/>
        <v>15</v>
      </c>
      <c r="L93" s="111">
        <f t="shared" si="25"/>
        <v>0</v>
      </c>
      <c r="M93" s="143" t="str">
        <f t="shared" si="13"/>
        <v>LOTTT</v>
      </c>
      <c r="N93" s="108">
        <f t="shared" si="14"/>
        <v>15</v>
      </c>
      <c r="O93" s="321">
        <f t="shared" si="15"/>
        <v>0</v>
      </c>
      <c r="P93" s="322"/>
      <c r="Q93" s="321">
        <f t="shared" si="22"/>
        <v>0</v>
      </c>
      <c r="R93" s="173">
        <f>IF(ISNUMBER(VLOOKUP(E93,InteresPres!$B$2:$W$14,Prestaciones!C93-1997+2,0)),VLOOKUP(E93,InteresPres!$B$2:$W$14,Prestaciones!C93-1997+2,0),"0")/100</f>
        <v>0</v>
      </c>
      <c r="S93" s="323">
        <f t="shared" si="16"/>
        <v>0</v>
      </c>
      <c r="T93" s="323">
        <f t="shared" si="23"/>
        <v>0</v>
      </c>
      <c r="U93" s="5"/>
    </row>
    <row r="94" spans="2:21" x14ac:dyDescent="0.25">
      <c r="B94" s="4"/>
      <c r="C94" s="108">
        <f t="shared" si="17"/>
        <v>2017</v>
      </c>
      <c r="D94" s="109">
        <f t="shared" si="18"/>
        <v>11</v>
      </c>
      <c r="E94" s="110" t="str">
        <f>VLOOKUP(D94,FECHAS!$A$3:$B$14,2,0)</f>
        <v>Noviembre</v>
      </c>
      <c r="F94" s="319"/>
      <c r="G94" s="108">
        <f t="shared" si="19"/>
        <v>6</v>
      </c>
      <c r="H94" s="108">
        <f t="shared" si="26"/>
        <v>8</v>
      </c>
      <c r="I94" s="111">
        <f t="shared" si="21"/>
        <v>0</v>
      </c>
      <c r="J94" s="111">
        <v>5</v>
      </c>
      <c r="K94" s="111">
        <f t="shared" si="24"/>
        <v>0</v>
      </c>
      <c r="L94" s="111">
        <f t="shared" si="25"/>
        <v>0</v>
      </c>
      <c r="M94" s="143" t="str">
        <f t="shared" si="13"/>
        <v>LOTTT</v>
      </c>
      <c r="N94" s="108">
        <f t="shared" si="14"/>
        <v>0</v>
      </c>
      <c r="O94" s="321">
        <f t="shared" si="15"/>
        <v>0</v>
      </c>
      <c r="P94" s="322"/>
      <c r="Q94" s="321">
        <f t="shared" si="22"/>
        <v>0</v>
      </c>
      <c r="R94" s="173">
        <f>IF(ISNUMBER(VLOOKUP(E94,InteresPres!$B$2:$W$14,Prestaciones!C94-1997+2,0)),VLOOKUP(E94,InteresPres!$B$2:$W$14,Prestaciones!C94-1997+2,0),"0")/100</f>
        <v>0</v>
      </c>
      <c r="S94" s="323">
        <f t="shared" si="16"/>
        <v>0</v>
      </c>
      <c r="T94" s="323">
        <f t="shared" si="23"/>
        <v>0</v>
      </c>
      <c r="U94" s="5"/>
    </row>
    <row r="95" spans="2:21" x14ac:dyDescent="0.25">
      <c r="B95" s="4"/>
      <c r="C95" s="108">
        <f t="shared" si="17"/>
        <v>2017</v>
      </c>
      <c r="D95" s="109">
        <f t="shared" si="18"/>
        <v>12</v>
      </c>
      <c r="E95" s="110" t="str">
        <f>VLOOKUP(D95,FECHAS!$A$3:$B$14,2,0)</f>
        <v>Diciembre</v>
      </c>
      <c r="F95" s="319"/>
      <c r="G95" s="108">
        <f t="shared" si="19"/>
        <v>6</v>
      </c>
      <c r="H95" s="108">
        <f t="shared" si="26"/>
        <v>9</v>
      </c>
      <c r="I95" s="111">
        <f t="shared" si="21"/>
        <v>0</v>
      </c>
      <c r="J95" s="111">
        <v>5</v>
      </c>
      <c r="K95" s="111">
        <f t="shared" si="24"/>
        <v>0</v>
      </c>
      <c r="L95" s="111">
        <f t="shared" si="25"/>
        <v>0</v>
      </c>
      <c r="M95" s="143" t="str">
        <f t="shared" si="13"/>
        <v>LOTTT</v>
      </c>
      <c r="N95" s="108">
        <f t="shared" si="14"/>
        <v>0</v>
      </c>
      <c r="O95" s="321">
        <f t="shared" si="15"/>
        <v>0</v>
      </c>
      <c r="P95" s="322"/>
      <c r="Q95" s="321">
        <f t="shared" si="22"/>
        <v>0</v>
      </c>
      <c r="R95" s="173">
        <f>IF(ISNUMBER(VLOOKUP(E95,InteresPres!$B$2:$W$14,Prestaciones!C95-1997+2,0)),VLOOKUP(E95,InteresPres!$B$2:$W$14,Prestaciones!C95-1997+2,0),"0")/100</f>
        <v>0</v>
      </c>
      <c r="S95" s="323">
        <f t="shared" si="16"/>
        <v>0</v>
      </c>
      <c r="T95" s="323">
        <f t="shared" si="23"/>
        <v>0</v>
      </c>
      <c r="U95" s="5"/>
    </row>
    <row r="96" spans="2:21" x14ac:dyDescent="0.25">
      <c r="B96" s="4"/>
      <c r="C96" s="108">
        <f t="shared" si="17"/>
        <v>2018</v>
      </c>
      <c r="D96" s="109">
        <f t="shared" si="18"/>
        <v>1</v>
      </c>
      <c r="E96" s="110" t="str">
        <f>VLOOKUP(D96,FECHAS!$A$3:$B$14,2,0)</f>
        <v>Enero</v>
      </c>
      <c r="F96" s="319"/>
      <c r="G96" s="108">
        <f t="shared" si="19"/>
        <v>6</v>
      </c>
      <c r="H96" s="108">
        <f t="shared" si="26"/>
        <v>10</v>
      </c>
      <c r="I96" s="111">
        <f t="shared" si="21"/>
        <v>0</v>
      </c>
      <c r="J96" s="111">
        <v>5</v>
      </c>
      <c r="K96" s="111">
        <f t="shared" si="24"/>
        <v>15</v>
      </c>
      <c r="L96" s="111">
        <f t="shared" si="25"/>
        <v>0</v>
      </c>
      <c r="M96" s="143" t="str">
        <f t="shared" si="13"/>
        <v>LOTTT</v>
      </c>
      <c r="N96" s="108">
        <f t="shared" si="14"/>
        <v>15</v>
      </c>
      <c r="O96" s="321">
        <f t="shared" si="15"/>
        <v>0</v>
      </c>
      <c r="P96" s="322"/>
      <c r="Q96" s="321">
        <f t="shared" si="22"/>
        <v>0</v>
      </c>
      <c r="R96" s="173">
        <f>IF(ISNUMBER(VLOOKUP(E96,InteresPres!$B$2:$W$14,Prestaciones!C96-1997+2,0)),VLOOKUP(E96,InteresPres!$B$2:$W$14,Prestaciones!C96-1997+2,0),"0")/100</f>
        <v>0</v>
      </c>
      <c r="S96" s="323">
        <f t="shared" si="16"/>
        <v>0</v>
      </c>
      <c r="T96" s="323">
        <f t="shared" si="23"/>
        <v>0</v>
      </c>
      <c r="U96" s="5"/>
    </row>
    <row r="97" spans="2:21" x14ac:dyDescent="0.25">
      <c r="B97" s="4"/>
      <c r="C97" s="108">
        <f t="shared" si="17"/>
        <v>2018</v>
      </c>
      <c r="D97" s="109">
        <f t="shared" si="18"/>
        <v>2</v>
      </c>
      <c r="E97" s="110" t="str">
        <f>VLOOKUP(D97,FECHAS!$A$3:$B$14,2,0)</f>
        <v>Febrero</v>
      </c>
      <c r="F97" s="319"/>
      <c r="G97" s="108">
        <f t="shared" si="19"/>
        <v>6</v>
      </c>
      <c r="H97" s="108">
        <f t="shared" si="26"/>
        <v>11</v>
      </c>
      <c r="I97" s="111">
        <f t="shared" si="21"/>
        <v>0</v>
      </c>
      <c r="J97" s="111">
        <v>5</v>
      </c>
      <c r="K97" s="111">
        <f t="shared" si="24"/>
        <v>0</v>
      </c>
      <c r="L97" s="111">
        <f t="shared" si="25"/>
        <v>0</v>
      </c>
      <c r="M97" s="143" t="str">
        <f t="shared" si="13"/>
        <v>LOTTT</v>
      </c>
      <c r="N97" s="108">
        <f t="shared" si="14"/>
        <v>0</v>
      </c>
      <c r="O97" s="321">
        <f t="shared" si="15"/>
        <v>0</v>
      </c>
      <c r="P97" s="322"/>
      <c r="Q97" s="321">
        <f t="shared" si="22"/>
        <v>0</v>
      </c>
      <c r="R97" s="173">
        <f>IF(ISNUMBER(VLOOKUP(E97,InteresPres!$B$2:$W$14,Prestaciones!C97-1997+2,0)),VLOOKUP(E97,InteresPres!$B$2:$W$14,Prestaciones!C97-1997+2,0),"0")/100</f>
        <v>0</v>
      </c>
      <c r="S97" s="323">
        <f t="shared" si="16"/>
        <v>0</v>
      </c>
      <c r="T97" s="323">
        <f t="shared" si="23"/>
        <v>0</v>
      </c>
      <c r="U97" s="5"/>
    </row>
    <row r="98" spans="2:21" x14ac:dyDescent="0.25">
      <c r="B98" s="4"/>
      <c r="C98" s="108">
        <f t="shared" si="17"/>
        <v>2018</v>
      </c>
      <c r="D98" s="109">
        <f t="shared" si="18"/>
        <v>3</v>
      </c>
      <c r="E98" s="110" t="str">
        <f>VLOOKUP(D98,FECHAS!$A$3:$B$14,2,0)</f>
        <v>Marzo</v>
      </c>
      <c r="F98" s="319"/>
      <c r="G98" s="108">
        <f t="shared" si="19"/>
        <v>7</v>
      </c>
      <c r="H98" s="108">
        <f t="shared" si="26"/>
        <v>0</v>
      </c>
      <c r="I98" s="111">
        <f t="shared" si="21"/>
        <v>12</v>
      </c>
      <c r="J98" s="111">
        <v>5</v>
      </c>
      <c r="K98" s="111">
        <f t="shared" si="24"/>
        <v>0</v>
      </c>
      <c r="L98" s="111">
        <f t="shared" si="25"/>
        <v>0</v>
      </c>
      <c r="M98" s="143" t="str">
        <f t="shared" si="13"/>
        <v>LOTTT</v>
      </c>
      <c r="N98" s="108">
        <f t="shared" si="14"/>
        <v>12</v>
      </c>
      <c r="O98" s="321">
        <f t="shared" si="15"/>
        <v>0</v>
      </c>
      <c r="P98" s="322"/>
      <c r="Q98" s="321">
        <f t="shared" si="22"/>
        <v>0</v>
      </c>
      <c r="R98" s="173">
        <f>IF(ISNUMBER(VLOOKUP(E98,InteresPres!$B$2:$W$14,Prestaciones!C98-1997+2,0)),VLOOKUP(E98,InteresPres!$B$2:$W$14,Prestaciones!C98-1997+2,0),"0")/100</f>
        <v>0</v>
      </c>
      <c r="S98" s="323">
        <f t="shared" si="16"/>
        <v>0</v>
      </c>
      <c r="T98" s="323">
        <f t="shared" si="23"/>
        <v>0</v>
      </c>
      <c r="U98" s="5"/>
    </row>
    <row r="99" spans="2:21" x14ac:dyDescent="0.25">
      <c r="B99" s="4"/>
      <c r="C99" s="108">
        <f t="shared" si="17"/>
        <v>2018</v>
      </c>
      <c r="D99" s="109">
        <f t="shared" si="18"/>
        <v>4</v>
      </c>
      <c r="E99" s="110" t="str">
        <f>VLOOKUP(D99,FECHAS!$A$3:$B$14,2,0)</f>
        <v>Abril</v>
      </c>
      <c r="F99" s="319"/>
      <c r="G99" s="108">
        <f t="shared" si="19"/>
        <v>7</v>
      </c>
      <c r="H99" s="108">
        <f t="shared" si="26"/>
        <v>1</v>
      </c>
      <c r="I99" s="111">
        <f t="shared" si="21"/>
        <v>0</v>
      </c>
      <c r="J99" s="111">
        <v>5</v>
      </c>
      <c r="K99" s="111">
        <f t="shared" si="24"/>
        <v>15</v>
      </c>
      <c r="L99" s="111">
        <f t="shared" si="25"/>
        <v>0</v>
      </c>
      <c r="M99" s="143" t="str">
        <f t="shared" si="13"/>
        <v>LOTTT</v>
      </c>
      <c r="N99" s="108">
        <f t="shared" si="14"/>
        <v>15</v>
      </c>
      <c r="O99" s="321">
        <f t="shared" si="15"/>
        <v>0</v>
      </c>
      <c r="P99" s="322"/>
      <c r="Q99" s="321">
        <f t="shared" si="22"/>
        <v>0</v>
      </c>
      <c r="R99" s="173">
        <f>IF(ISNUMBER(VLOOKUP(E99,InteresPres!$B$2:$W$14,Prestaciones!C99-1997+2,0)),VLOOKUP(E99,InteresPres!$B$2:$W$14,Prestaciones!C99-1997+2,0),"0")/100</f>
        <v>0</v>
      </c>
      <c r="S99" s="323">
        <f t="shared" si="16"/>
        <v>0</v>
      </c>
      <c r="T99" s="323">
        <f t="shared" si="23"/>
        <v>0</v>
      </c>
      <c r="U99" s="5"/>
    </row>
    <row r="100" spans="2:21" x14ac:dyDescent="0.25">
      <c r="B100" s="4"/>
      <c r="C100" s="108">
        <f t="shared" si="17"/>
        <v>2018</v>
      </c>
      <c r="D100" s="109">
        <f t="shared" si="18"/>
        <v>5</v>
      </c>
      <c r="E100" s="110" t="str">
        <f>VLOOKUP(D100,FECHAS!$A$3:$B$14,2,0)</f>
        <v>Mayo</v>
      </c>
      <c r="F100" s="319"/>
      <c r="G100" s="108">
        <f t="shared" si="19"/>
        <v>7</v>
      </c>
      <c r="H100" s="108">
        <f t="shared" si="26"/>
        <v>2</v>
      </c>
      <c r="I100" s="111">
        <f t="shared" si="21"/>
        <v>0</v>
      </c>
      <c r="J100" s="111">
        <v>5</v>
      </c>
      <c r="K100" s="111">
        <f t="shared" si="24"/>
        <v>0</v>
      </c>
      <c r="L100" s="111">
        <f t="shared" si="25"/>
        <v>0</v>
      </c>
      <c r="M100" s="143" t="str">
        <f t="shared" si="13"/>
        <v>LOTTT</v>
      </c>
      <c r="N100" s="108">
        <f t="shared" si="14"/>
        <v>0</v>
      </c>
      <c r="O100" s="321">
        <f t="shared" si="15"/>
        <v>0</v>
      </c>
      <c r="P100" s="322"/>
      <c r="Q100" s="321">
        <f t="shared" si="22"/>
        <v>0</v>
      </c>
      <c r="R100" s="173">
        <f>IF(ISNUMBER(VLOOKUP(E100,InteresPres!$B$2:$W$14,Prestaciones!C100-1997+2,0)),VLOOKUP(E100,InteresPres!$B$2:$W$14,Prestaciones!C100-1997+2,0),"0")/100</f>
        <v>0</v>
      </c>
      <c r="S100" s="323">
        <f t="shared" si="16"/>
        <v>0</v>
      </c>
      <c r="T100" s="323">
        <f t="shared" si="23"/>
        <v>0</v>
      </c>
      <c r="U100" s="5"/>
    </row>
    <row r="101" spans="2:21" x14ac:dyDescent="0.25">
      <c r="B101" s="4"/>
      <c r="C101" s="108">
        <f t="shared" si="17"/>
        <v>2018</v>
      </c>
      <c r="D101" s="109">
        <f t="shared" si="18"/>
        <v>6</v>
      </c>
      <c r="E101" s="110" t="str">
        <f>VLOOKUP(D101,FECHAS!$A$3:$B$14,2,0)</f>
        <v>Junio</v>
      </c>
      <c r="F101" s="319"/>
      <c r="G101" s="108">
        <f t="shared" si="19"/>
        <v>7</v>
      </c>
      <c r="H101" s="108">
        <f t="shared" si="26"/>
        <v>3</v>
      </c>
      <c r="I101" s="111">
        <f t="shared" si="21"/>
        <v>0</v>
      </c>
      <c r="J101" s="111">
        <v>5</v>
      </c>
      <c r="K101" s="111">
        <f t="shared" si="24"/>
        <v>0</v>
      </c>
      <c r="L101" s="111">
        <f t="shared" si="25"/>
        <v>0</v>
      </c>
      <c r="M101" s="143" t="str">
        <f t="shared" si="13"/>
        <v>LOTTT</v>
      </c>
      <c r="N101" s="108">
        <f t="shared" si="14"/>
        <v>0</v>
      </c>
      <c r="O101" s="321">
        <f t="shared" si="15"/>
        <v>0</v>
      </c>
      <c r="P101" s="322"/>
      <c r="Q101" s="321">
        <f t="shared" si="22"/>
        <v>0</v>
      </c>
      <c r="R101" s="173">
        <f>IF(ISNUMBER(VLOOKUP(E101,InteresPres!$B$2:$W$14,Prestaciones!C101-1997+2,0)),VLOOKUP(E101,InteresPres!$B$2:$W$14,Prestaciones!C101-1997+2,0),"0")/100</f>
        <v>0</v>
      </c>
      <c r="S101" s="323">
        <f t="shared" si="16"/>
        <v>0</v>
      </c>
      <c r="T101" s="323">
        <f t="shared" si="23"/>
        <v>0</v>
      </c>
      <c r="U101" s="5"/>
    </row>
    <row r="102" spans="2:21" x14ac:dyDescent="0.25">
      <c r="B102" s="4"/>
      <c r="C102" s="108">
        <f t="shared" si="17"/>
        <v>2018</v>
      </c>
      <c r="D102" s="109">
        <f t="shared" si="18"/>
        <v>7</v>
      </c>
      <c r="E102" s="110" t="str">
        <f>VLOOKUP(D102,FECHAS!$A$3:$B$14,2,0)</f>
        <v>Julio</v>
      </c>
      <c r="F102" s="319"/>
      <c r="G102" s="108">
        <f t="shared" si="19"/>
        <v>7</v>
      </c>
      <c r="H102" s="108">
        <f t="shared" si="26"/>
        <v>4</v>
      </c>
      <c r="I102" s="111">
        <f t="shared" si="21"/>
        <v>0</v>
      </c>
      <c r="J102" s="111">
        <v>5</v>
      </c>
      <c r="K102" s="111">
        <f t="shared" si="24"/>
        <v>15</v>
      </c>
      <c r="L102" s="111">
        <f t="shared" si="25"/>
        <v>0</v>
      </c>
      <c r="M102" s="143" t="str">
        <f t="shared" si="13"/>
        <v>LOTTT</v>
      </c>
      <c r="N102" s="108">
        <f t="shared" si="14"/>
        <v>15</v>
      </c>
      <c r="O102" s="321">
        <f t="shared" si="15"/>
        <v>0</v>
      </c>
      <c r="P102" s="322"/>
      <c r="Q102" s="321">
        <f t="shared" si="22"/>
        <v>0</v>
      </c>
      <c r="R102" s="173">
        <f>IF(ISNUMBER(VLOOKUP(E102,InteresPres!$B$2:$W$14,Prestaciones!C102-1997+2,0)),VLOOKUP(E102,InteresPres!$B$2:$W$14,Prestaciones!C102-1997+2,0),"0")/100</f>
        <v>0</v>
      </c>
      <c r="S102" s="323">
        <f t="shared" si="16"/>
        <v>0</v>
      </c>
      <c r="T102" s="323">
        <f t="shared" si="23"/>
        <v>0</v>
      </c>
      <c r="U102" s="5"/>
    </row>
    <row r="103" spans="2:21" x14ac:dyDescent="0.25">
      <c r="B103" s="4"/>
      <c r="C103" s="108">
        <f t="shared" si="17"/>
        <v>2018</v>
      </c>
      <c r="D103" s="109">
        <f t="shared" si="18"/>
        <v>8</v>
      </c>
      <c r="E103" s="110" t="str">
        <f>VLOOKUP(D103,FECHAS!$A$3:$B$14,2,0)</f>
        <v>Agosto</v>
      </c>
      <c r="F103" s="319"/>
      <c r="G103" s="108">
        <f>IF(H102=11,G102+1,G102)</f>
        <v>7</v>
      </c>
      <c r="H103" s="108">
        <f>IF(H102=11,0,H102+1)</f>
        <v>5</v>
      </c>
      <c r="I103" s="111">
        <f t="shared" si="21"/>
        <v>0</v>
      </c>
      <c r="J103" s="111">
        <v>5</v>
      </c>
      <c r="K103" s="111">
        <f t="shared" si="24"/>
        <v>0</v>
      </c>
      <c r="L103" s="111">
        <f t="shared" si="25"/>
        <v>0</v>
      </c>
      <c r="M103" s="143" t="str">
        <f t="shared" si="13"/>
        <v>LOTTT</v>
      </c>
      <c r="N103" s="108">
        <f t="shared" si="14"/>
        <v>0</v>
      </c>
      <c r="O103" s="321">
        <f t="shared" si="15"/>
        <v>0</v>
      </c>
      <c r="P103" s="322"/>
      <c r="Q103" s="321">
        <f t="shared" si="22"/>
        <v>0</v>
      </c>
      <c r="R103" s="173">
        <f>IF(ISNUMBER(VLOOKUP(E103,InteresPres!$B$2:$W$14,Prestaciones!C103-1997+2,0)),VLOOKUP(E103,InteresPres!$B$2:$W$14,Prestaciones!C103-1997+2,0),"0")/100</f>
        <v>0</v>
      </c>
      <c r="S103" s="323">
        <f t="shared" si="16"/>
        <v>0</v>
      </c>
      <c r="T103" s="323">
        <f t="shared" si="23"/>
        <v>0</v>
      </c>
      <c r="U103" s="5"/>
    </row>
    <row r="104" spans="2:21" x14ac:dyDescent="0.25">
      <c r="B104" s="4"/>
      <c r="C104" s="108">
        <f t="shared" si="17"/>
        <v>2018</v>
      </c>
      <c r="D104" s="109">
        <f t="shared" si="18"/>
        <v>9</v>
      </c>
      <c r="E104" s="110" t="str">
        <f>VLOOKUP(D104,FECHAS!$A$3:$B$14,2,0)</f>
        <v>Septiembre</v>
      </c>
      <c r="F104" s="319"/>
      <c r="G104" s="108">
        <f t="shared" ref="G104:G126" si="27">IF(H103=11,G103+1,G103)</f>
        <v>7</v>
      </c>
      <c r="H104" s="108">
        <f t="shared" ref="H104:H126" si="28">IF(H103=11,0,H103+1)</f>
        <v>6</v>
      </c>
      <c r="I104" s="111">
        <f t="shared" si="21"/>
        <v>0</v>
      </c>
      <c r="J104" s="111">
        <v>5</v>
      </c>
      <c r="K104" s="111">
        <f t="shared" si="24"/>
        <v>0</v>
      </c>
      <c r="L104" s="111">
        <f t="shared" si="25"/>
        <v>0</v>
      </c>
      <c r="M104" s="143" t="str">
        <f t="shared" si="13"/>
        <v>LOTTT</v>
      </c>
      <c r="N104" s="108">
        <f t="shared" si="14"/>
        <v>0</v>
      </c>
      <c r="O104" s="321">
        <f t="shared" si="15"/>
        <v>0</v>
      </c>
      <c r="P104" s="322"/>
      <c r="Q104" s="321">
        <f t="shared" si="22"/>
        <v>0</v>
      </c>
      <c r="R104" s="173">
        <f>IF(ISNUMBER(VLOOKUP(E104,InteresPres!$B$2:$W$14,Prestaciones!C104-1997+2,0)),VLOOKUP(E104,InteresPres!$B$2:$W$14,Prestaciones!C104-1997+2,0),"0")/100</f>
        <v>0</v>
      </c>
      <c r="S104" s="323">
        <f t="shared" si="16"/>
        <v>0</v>
      </c>
      <c r="T104" s="323">
        <f t="shared" si="23"/>
        <v>0</v>
      </c>
      <c r="U104" s="5"/>
    </row>
    <row r="105" spans="2:21" x14ac:dyDescent="0.25">
      <c r="B105" s="4"/>
      <c r="C105" s="108">
        <f t="shared" si="17"/>
        <v>2018</v>
      </c>
      <c r="D105" s="109">
        <f t="shared" si="18"/>
        <v>10</v>
      </c>
      <c r="E105" s="110" t="str">
        <f>VLOOKUP(D105,FECHAS!$A$3:$B$14,2,0)</f>
        <v>Octubre</v>
      </c>
      <c r="F105" s="319"/>
      <c r="G105" s="108">
        <f t="shared" si="27"/>
        <v>7</v>
      </c>
      <c r="H105" s="108">
        <f t="shared" si="28"/>
        <v>7</v>
      </c>
      <c r="I105" s="111">
        <f t="shared" si="21"/>
        <v>0</v>
      </c>
      <c r="J105" s="111">
        <v>5</v>
      </c>
      <c r="K105" s="111">
        <f t="shared" si="24"/>
        <v>15</v>
      </c>
      <c r="L105" s="111">
        <f t="shared" si="25"/>
        <v>0</v>
      </c>
      <c r="M105" s="143" t="str">
        <f t="shared" si="13"/>
        <v>LOTTT</v>
      </c>
      <c r="N105" s="108">
        <f t="shared" si="14"/>
        <v>15</v>
      </c>
      <c r="O105" s="321">
        <f t="shared" si="15"/>
        <v>0</v>
      </c>
      <c r="P105" s="322"/>
      <c r="Q105" s="321">
        <f t="shared" si="22"/>
        <v>0</v>
      </c>
      <c r="R105" s="173">
        <f>IF(ISNUMBER(VLOOKUP(E105,InteresPres!$B$2:$W$14,Prestaciones!C105-1997+2,0)),VLOOKUP(E105,InteresPres!$B$2:$W$14,Prestaciones!C105-1997+2,0),"0")/100</f>
        <v>0</v>
      </c>
      <c r="S105" s="323">
        <f t="shared" si="16"/>
        <v>0</v>
      </c>
      <c r="T105" s="323">
        <f t="shared" si="23"/>
        <v>0</v>
      </c>
      <c r="U105" s="5"/>
    </row>
    <row r="106" spans="2:21" x14ac:dyDescent="0.25">
      <c r="B106" s="4"/>
      <c r="C106" s="108">
        <f t="shared" si="17"/>
        <v>2018</v>
      </c>
      <c r="D106" s="109">
        <f t="shared" si="18"/>
        <v>11</v>
      </c>
      <c r="E106" s="110" t="str">
        <f>VLOOKUP(D106,FECHAS!$A$3:$B$14,2,0)</f>
        <v>Noviembre</v>
      </c>
      <c r="F106" s="319"/>
      <c r="G106" s="108">
        <f t="shared" si="27"/>
        <v>7</v>
      </c>
      <c r="H106" s="108">
        <f t="shared" si="28"/>
        <v>8</v>
      </c>
      <c r="I106" s="111">
        <f t="shared" si="21"/>
        <v>0</v>
      </c>
      <c r="J106" s="111">
        <v>5</v>
      </c>
      <c r="K106" s="111">
        <f t="shared" si="24"/>
        <v>0</v>
      </c>
      <c r="L106" s="111">
        <f t="shared" si="25"/>
        <v>0</v>
      </c>
      <c r="M106" s="143" t="str">
        <f t="shared" si="13"/>
        <v>LOTTT</v>
      </c>
      <c r="N106" s="108">
        <f t="shared" si="14"/>
        <v>0</v>
      </c>
      <c r="O106" s="321">
        <f t="shared" si="15"/>
        <v>0</v>
      </c>
      <c r="P106" s="322"/>
      <c r="Q106" s="321">
        <f t="shared" si="22"/>
        <v>0</v>
      </c>
      <c r="R106" s="173">
        <f>IF(ISNUMBER(VLOOKUP(E106,InteresPres!$B$2:$W$14,Prestaciones!C106-1997+2,0)),VLOOKUP(E106,InteresPres!$B$2:$W$14,Prestaciones!C106-1997+2,0),"0")/100</f>
        <v>0</v>
      </c>
      <c r="S106" s="323">
        <f t="shared" si="16"/>
        <v>0</v>
      </c>
      <c r="T106" s="323">
        <f t="shared" si="23"/>
        <v>0</v>
      </c>
      <c r="U106" s="5"/>
    </row>
    <row r="107" spans="2:21" x14ac:dyDescent="0.25">
      <c r="B107" s="4"/>
      <c r="C107" s="108">
        <f t="shared" si="17"/>
        <v>2018</v>
      </c>
      <c r="D107" s="109">
        <f t="shared" si="18"/>
        <v>12</v>
      </c>
      <c r="E107" s="110" t="str">
        <f>VLOOKUP(D107,FECHAS!$A$3:$B$14,2,0)</f>
        <v>Diciembre</v>
      </c>
      <c r="F107" s="319"/>
      <c r="G107" s="108">
        <f t="shared" si="27"/>
        <v>7</v>
      </c>
      <c r="H107" s="108">
        <f t="shared" si="28"/>
        <v>9</v>
      </c>
      <c r="I107" s="111">
        <f t="shared" si="21"/>
        <v>0</v>
      </c>
      <c r="J107" s="111">
        <v>5</v>
      </c>
      <c r="K107" s="111">
        <f t="shared" si="24"/>
        <v>0</v>
      </c>
      <c r="L107" s="111">
        <f t="shared" si="25"/>
        <v>0</v>
      </c>
      <c r="M107" s="143" t="str">
        <f t="shared" si="13"/>
        <v>LOTTT</v>
      </c>
      <c r="N107" s="108">
        <f t="shared" si="14"/>
        <v>0</v>
      </c>
      <c r="O107" s="321">
        <f t="shared" si="15"/>
        <v>0</v>
      </c>
      <c r="P107" s="322"/>
      <c r="Q107" s="321">
        <f t="shared" si="22"/>
        <v>0</v>
      </c>
      <c r="R107" s="173">
        <f>IF(ISNUMBER(VLOOKUP(E107,InteresPres!$B$2:$W$14,Prestaciones!C107-1997+2,0)),VLOOKUP(E107,InteresPres!$B$2:$W$14,Prestaciones!C107-1997+2,0),"0")/100</f>
        <v>0</v>
      </c>
      <c r="S107" s="323">
        <f t="shared" si="16"/>
        <v>0</v>
      </c>
      <c r="T107" s="323">
        <f t="shared" si="23"/>
        <v>0</v>
      </c>
      <c r="U107" s="5"/>
    </row>
    <row r="108" spans="2:21" x14ac:dyDescent="0.25">
      <c r="B108" s="4"/>
      <c r="C108" s="108">
        <f t="shared" si="17"/>
        <v>2019</v>
      </c>
      <c r="D108" s="109">
        <f t="shared" si="18"/>
        <v>1</v>
      </c>
      <c r="E108" s="110" t="str">
        <f>VLOOKUP(D108,FECHAS!$A$3:$B$14,2,0)</f>
        <v>Enero</v>
      </c>
      <c r="F108" s="319"/>
      <c r="G108" s="108">
        <f t="shared" si="27"/>
        <v>7</v>
      </c>
      <c r="H108" s="108">
        <f t="shared" si="28"/>
        <v>10</v>
      </c>
      <c r="I108" s="111">
        <f t="shared" si="21"/>
        <v>0</v>
      </c>
      <c r="J108" s="111">
        <v>5</v>
      </c>
      <c r="K108" s="111">
        <f t="shared" si="24"/>
        <v>15</v>
      </c>
      <c r="L108" s="111">
        <f t="shared" si="25"/>
        <v>0</v>
      </c>
      <c r="M108" s="143" t="str">
        <f t="shared" si="13"/>
        <v>LOTTT</v>
      </c>
      <c r="N108" s="108">
        <f t="shared" si="14"/>
        <v>15</v>
      </c>
      <c r="O108" s="321">
        <f t="shared" si="15"/>
        <v>0</v>
      </c>
      <c r="P108" s="322"/>
      <c r="Q108" s="321">
        <f t="shared" si="22"/>
        <v>0</v>
      </c>
      <c r="R108" s="173">
        <f>IF(ISNUMBER(VLOOKUP(E108,InteresPres!$B$2:$W$14,Prestaciones!C108-1997+2,0)),VLOOKUP(E108,InteresPres!$B$2:$W$14,Prestaciones!C108-1997+2,0),"0")/100</f>
        <v>0</v>
      </c>
      <c r="S108" s="323">
        <f t="shared" si="16"/>
        <v>0</v>
      </c>
      <c r="T108" s="323">
        <f t="shared" si="23"/>
        <v>0</v>
      </c>
      <c r="U108" s="5"/>
    </row>
    <row r="109" spans="2:21" x14ac:dyDescent="0.25">
      <c r="B109" s="4"/>
      <c r="C109" s="108">
        <f t="shared" si="17"/>
        <v>2019</v>
      </c>
      <c r="D109" s="109">
        <f t="shared" si="18"/>
        <v>2</v>
      </c>
      <c r="E109" s="110" t="str">
        <f>VLOOKUP(D109,FECHAS!$A$3:$B$14,2,0)</f>
        <v>Febrero</v>
      </c>
      <c r="F109" s="319"/>
      <c r="G109" s="108">
        <f t="shared" si="27"/>
        <v>7</v>
      </c>
      <c r="H109" s="108">
        <f t="shared" si="28"/>
        <v>11</v>
      </c>
      <c r="I109" s="111">
        <f t="shared" si="21"/>
        <v>0</v>
      </c>
      <c r="J109" s="111">
        <v>5</v>
      </c>
      <c r="K109" s="111">
        <f t="shared" si="24"/>
        <v>0</v>
      </c>
      <c r="L109" s="111">
        <f t="shared" si="25"/>
        <v>0</v>
      </c>
      <c r="M109" s="143" t="str">
        <f t="shared" si="13"/>
        <v>LOTTT</v>
      </c>
      <c r="N109" s="108">
        <f t="shared" si="14"/>
        <v>0</v>
      </c>
      <c r="O109" s="321">
        <f t="shared" si="15"/>
        <v>0</v>
      </c>
      <c r="P109" s="322"/>
      <c r="Q109" s="321">
        <f t="shared" si="22"/>
        <v>0</v>
      </c>
      <c r="R109" s="173">
        <f>IF(ISNUMBER(VLOOKUP(E109,InteresPres!$B$2:$W$14,Prestaciones!C109-1997+2,0)),VLOOKUP(E109,InteresPres!$B$2:$W$14,Prestaciones!C109-1997+2,0),"0")/100</f>
        <v>0</v>
      </c>
      <c r="S109" s="323">
        <f t="shared" si="16"/>
        <v>0</v>
      </c>
      <c r="T109" s="323">
        <f t="shared" si="23"/>
        <v>0</v>
      </c>
      <c r="U109" s="5"/>
    </row>
    <row r="110" spans="2:21" x14ac:dyDescent="0.25">
      <c r="B110" s="4"/>
      <c r="C110" s="108">
        <f t="shared" si="17"/>
        <v>2019</v>
      </c>
      <c r="D110" s="109">
        <f t="shared" si="18"/>
        <v>3</v>
      </c>
      <c r="E110" s="110" t="str">
        <f>VLOOKUP(D110,FECHAS!$A$3:$B$14,2,0)</f>
        <v>Marzo</v>
      </c>
      <c r="F110" s="319"/>
      <c r="G110" s="108">
        <f t="shared" si="27"/>
        <v>8</v>
      </c>
      <c r="H110" s="108">
        <f t="shared" si="28"/>
        <v>0</v>
      </c>
      <c r="I110" s="111">
        <f t="shared" si="21"/>
        <v>14</v>
      </c>
      <c r="J110" s="111">
        <v>5</v>
      </c>
      <c r="K110" s="111">
        <f t="shared" si="24"/>
        <v>0</v>
      </c>
      <c r="L110" s="111">
        <f t="shared" si="25"/>
        <v>0</v>
      </c>
      <c r="M110" s="143" t="str">
        <f t="shared" si="13"/>
        <v>LOTTT</v>
      </c>
      <c r="N110" s="108">
        <f t="shared" si="14"/>
        <v>14</v>
      </c>
      <c r="O110" s="321">
        <f t="shared" si="15"/>
        <v>0</v>
      </c>
      <c r="P110" s="322"/>
      <c r="Q110" s="321">
        <f t="shared" si="22"/>
        <v>0</v>
      </c>
      <c r="R110" s="173">
        <f>IF(ISNUMBER(VLOOKUP(E110,InteresPres!$B$2:$W$14,Prestaciones!C110-1997+2,0)),VLOOKUP(E110,InteresPres!$B$2:$W$14,Prestaciones!C110-1997+2,0),"0")/100</f>
        <v>0</v>
      </c>
      <c r="S110" s="323">
        <f t="shared" si="16"/>
        <v>0</v>
      </c>
      <c r="T110" s="323">
        <f t="shared" si="23"/>
        <v>0</v>
      </c>
      <c r="U110" s="5"/>
    </row>
    <row r="111" spans="2:21" x14ac:dyDescent="0.25">
      <c r="B111" s="4"/>
      <c r="C111" s="108">
        <f t="shared" si="17"/>
        <v>2019</v>
      </c>
      <c r="D111" s="109">
        <f t="shared" si="18"/>
        <v>4</v>
      </c>
      <c r="E111" s="110" t="str">
        <f>VLOOKUP(D111,FECHAS!$A$3:$B$14,2,0)</f>
        <v>Abril</v>
      </c>
      <c r="F111" s="319"/>
      <c r="G111" s="108">
        <f t="shared" si="27"/>
        <v>8</v>
      </c>
      <c r="H111" s="108">
        <f t="shared" si="28"/>
        <v>1</v>
      </c>
      <c r="I111" s="111">
        <f t="shared" si="21"/>
        <v>0</v>
      </c>
      <c r="J111" s="111">
        <v>5</v>
      </c>
      <c r="K111" s="111">
        <f t="shared" si="24"/>
        <v>15</v>
      </c>
      <c r="L111" s="111">
        <f t="shared" si="25"/>
        <v>0</v>
      </c>
      <c r="M111" s="143" t="str">
        <f t="shared" si="13"/>
        <v>LOTTT</v>
      </c>
      <c r="N111" s="108">
        <f t="shared" si="14"/>
        <v>15</v>
      </c>
      <c r="O111" s="321">
        <f t="shared" si="15"/>
        <v>0</v>
      </c>
      <c r="P111" s="322"/>
      <c r="Q111" s="321">
        <f t="shared" si="22"/>
        <v>0</v>
      </c>
      <c r="R111" s="173">
        <f>IF(ISNUMBER(VLOOKUP(E111,InteresPres!$B$2:$W$14,Prestaciones!C111-1997+2,0)),VLOOKUP(E111,InteresPres!$B$2:$W$14,Prestaciones!C111-1997+2,0),"0")/100</f>
        <v>0</v>
      </c>
      <c r="S111" s="323">
        <f t="shared" si="16"/>
        <v>0</v>
      </c>
      <c r="T111" s="323">
        <f t="shared" si="23"/>
        <v>0</v>
      </c>
      <c r="U111" s="5"/>
    </row>
    <row r="112" spans="2:21" x14ac:dyDescent="0.25">
      <c r="B112" s="4"/>
      <c r="C112" s="108">
        <f t="shared" si="17"/>
        <v>2019</v>
      </c>
      <c r="D112" s="109">
        <f t="shared" si="18"/>
        <v>5</v>
      </c>
      <c r="E112" s="110" t="str">
        <f>VLOOKUP(D112,FECHAS!$A$3:$B$14,2,0)</f>
        <v>Mayo</v>
      </c>
      <c r="F112" s="319"/>
      <c r="G112" s="108">
        <f t="shared" si="27"/>
        <v>8</v>
      </c>
      <c r="H112" s="108">
        <f t="shared" si="28"/>
        <v>2</v>
      </c>
      <c r="I112" s="111">
        <f t="shared" si="21"/>
        <v>0</v>
      </c>
      <c r="J112" s="111">
        <v>5</v>
      </c>
      <c r="K112" s="111">
        <f t="shared" si="24"/>
        <v>0</v>
      </c>
      <c r="L112" s="111">
        <f t="shared" si="25"/>
        <v>0</v>
      </c>
      <c r="M112" s="143" t="str">
        <f t="shared" si="13"/>
        <v>LOTTT</v>
      </c>
      <c r="N112" s="108">
        <f t="shared" si="14"/>
        <v>0</v>
      </c>
      <c r="O112" s="321">
        <f t="shared" si="15"/>
        <v>0</v>
      </c>
      <c r="P112" s="322"/>
      <c r="Q112" s="321">
        <f t="shared" si="22"/>
        <v>0</v>
      </c>
      <c r="R112" s="173">
        <f>IF(ISNUMBER(VLOOKUP(E112,InteresPres!$B$2:$W$14,Prestaciones!C112-1997+2,0)),VLOOKUP(E112,InteresPres!$B$2:$W$14,Prestaciones!C112-1997+2,0),"0")/100</f>
        <v>0</v>
      </c>
      <c r="S112" s="323">
        <f t="shared" si="16"/>
        <v>0</v>
      </c>
      <c r="T112" s="323">
        <f t="shared" si="23"/>
        <v>0</v>
      </c>
      <c r="U112" s="5"/>
    </row>
    <row r="113" spans="2:21" x14ac:dyDescent="0.25">
      <c r="B113" s="4"/>
      <c r="C113" s="108">
        <f t="shared" si="17"/>
        <v>2019</v>
      </c>
      <c r="D113" s="109">
        <f t="shared" si="18"/>
        <v>6</v>
      </c>
      <c r="E113" s="110" t="str">
        <f>VLOOKUP(D113,FECHAS!$A$3:$B$14,2,0)</f>
        <v>Junio</v>
      </c>
      <c r="F113" s="319"/>
      <c r="G113" s="108">
        <f t="shared" si="27"/>
        <v>8</v>
      </c>
      <c r="H113" s="108">
        <f t="shared" si="28"/>
        <v>3</v>
      </c>
      <c r="I113" s="111">
        <f t="shared" si="21"/>
        <v>0</v>
      </c>
      <c r="J113" s="111">
        <v>5</v>
      </c>
      <c r="K113" s="111">
        <f t="shared" si="24"/>
        <v>0</v>
      </c>
      <c r="L113" s="111">
        <f t="shared" si="25"/>
        <v>0</v>
      </c>
      <c r="M113" s="143" t="str">
        <f t="shared" si="13"/>
        <v>LOTTT</v>
      </c>
      <c r="N113" s="108">
        <f t="shared" si="14"/>
        <v>0</v>
      </c>
      <c r="O113" s="321">
        <f t="shared" si="15"/>
        <v>0</v>
      </c>
      <c r="P113" s="322"/>
      <c r="Q113" s="321">
        <f t="shared" si="22"/>
        <v>0</v>
      </c>
      <c r="R113" s="173">
        <f>IF(ISNUMBER(VLOOKUP(E113,InteresPres!$B$2:$W$14,Prestaciones!C113-1997+2,0)),VLOOKUP(E113,InteresPres!$B$2:$W$14,Prestaciones!C113-1997+2,0),"0")/100</f>
        <v>0</v>
      </c>
      <c r="S113" s="323">
        <f t="shared" si="16"/>
        <v>0</v>
      </c>
      <c r="T113" s="323">
        <f t="shared" si="23"/>
        <v>0</v>
      </c>
      <c r="U113" s="5"/>
    </row>
    <row r="114" spans="2:21" x14ac:dyDescent="0.25">
      <c r="B114" s="4"/>
      <c r="C114" s="108">
        <f t="shared" si="17"/>
        <v>2019</v>
      </c>
      <c r="D114" s="109">
        <f t="shared" si="18"/>
        <v>7</v>
      </c>
      <c r="E114" s="110" t="str">
        <f>VLOOKUP(D114,FECHAS!$A$3:$B$14,2,0)</f>
        <v>Julio</v>
      </c>
      <c r="F114" s="319"/>
      <c r="G114" s="108">
        <f t="shared" si="27"/>
        <v>8</v>
      </c>
      <c r="H114" s="108">
        <f t="shared" si="28"/>
        <v>4</v>
      </c>
      <c r="I114" s="111">
        <f t="shared" si="21"/>
        <v>0</v>
      </c>
      <c r="J114" s="111">
        <v>5</v>
      </c>
      <c r="K114" s="111">
        <f t="shared" si="24"/>
        <v>15</v>
      </c>
      <c r="L114" s="111">
        <f t="shared" si="25"/>
        <v>0</v>
      </c>
      <c r="M114" s="143" t="str">
        <f t="shared" si="13"/>
        <v>LOTTT</v>
      </c>
      <c r="N114" s="108">
        <f t="shared" si="14"/>
        <v>15</v>
      </c>
      <c r="O114" s="321">
        <f t="shared" si="15"/>
        <v>0</v>
      </c>
      <c r="P114" s="322"/>
      <c r="Q114" s="321">
        <f t="shared" si="22"/>
        <v>0</v>
      </c>
      <c r="R114" s="173">
        <f>IF(ISNUMBER(VLOOKUP(E114,InteresPres!$B$2:$W$14,Prestaciones!C114-1997+2,0)),VLOOKUP(E114,InteresPres!$B$2:$W$14,Prestaciones!C114-1997+2,0),"0")/100</f>
        <v>0</v>
      </c>
      <c r="S114" s="323">
        <f t="shared" si="16"/>
        <v>0</v>
      </c>
      <c r="T114" s="323">
        <f t="shared" si="23"/>
        <v>0</v>
      </c>
      <c r="U114" s="5"/>
    </row>
    <row r="115" spans="2:21" x14ac:dyDescent="0.25">
      <c r="B115" s="4"/>
      <c r="C115" s="108">
        <f t="shared" si="17"/>
        <v>2019</v>
      </c>
      <c r="D115" s="109">
        <f t="shared" si="18"/>
        <v>8</v>
      </c>
      <c r="E115" s="110" t="str">
        <f>VLOOKUP(D115,FECHAS!$A$3:$B$14,2,0)</f>
        <v>Agosto</v>
      </c>
      <c r="F115" s="319"/>
      <c r="G115" s="108">
        <f t="shared" si="27"/>
        <v>8</v>
      </c>
      <c r="H115" s="108">
        <f t="shared" si="28"/>
        <v>5</v>
      </c>
      <c r="I115" s="111">
        <f t="shared" si="21"/>
        <v>0</v>
      </c>
      <c r="J115" s="111">
        <v>5</v>
      </c>
      <c r="K115" s="111">
        <f t="shared" si="24"/>
        <v>0</v>
      </c>
      <c r="L115" s="111">
        <f t="shared" si="25"/>
        <v>0</v>
      </c>
      <c r="M115" s="143" t="str">
        <f t="shared" si="13"/>
        <v>LOTTT</v>
      </c>
      <c r="N115" s="108">
        <f t="shared" si="14"/>
        <v>0</v>
      </c>
      <c r="O115" s="321">
        <f t="shared" si="15"/>
        <v>0</v>
      </c>
      <c r="P115" s="322"/>
      <c r="Q115" s="321">
        <f t="shared" si="22"/>
        <v>0</v>
      </c>
      <c r="R115" s="173">
        <f>IF(ISNUMBER(VLOOKUP(E115,InteresPres!$B$2:$W$14,Prestaciones!C115-1997+2,0)),VLOOKUP(E115,InteresPres!$B$2:$W$14,Prestaciones!C115-1997+2,0),"0")/100</f>
        <v>0</v>
      </c>
      <c r="S115" s="323">
        <f t="shared" si="16"/>
        <v>0</v>
      </c>
      <c r="T115" s="323">
        <f t="shared" si="23"/>
        <v>0</v>
      </c>
      <c r="U115" s="5"/>
    </row>
    <row r="116" spans="2:21" x14ac:dyDescent="0.25">
      <c r="B116" s="4"/>
      <c r="C116" s="108">
        <f t="shared" si="17"/>
        <v>2019</v>
      </c>
      <c r="D116" s="109">
        <f t="shared" si="18"/>
        <v>9</v>
      </c>
      <c r="E116" s="110" t="str">
        <f>VLOOKUP(D116,FECHAS!$A$3:$B$14,2,0)</f>
        <v>Septiembre</v>
      </c>
      <c r="F116" s="319"/>
      <c r="G116" s="108">
        <f t="shared" si="27"/>
        <v>8</v>
      </c>
      <c r="H116" s="108">
        <f t="shared" si="28"/>
        <v>6</v>
      </c>
      <c r="I116" s="111">
        <f t="shared" si="21"/>
        <v>0</v>
      </c>
      <c r="J116" s="111">
        <v>5</v>
      </c>
      <c r="K116" s="111">
        <f t="shared" si="24"/>
        <v>0</v>
      </c>
      <c r="L116" s="111">
        <f t="shared" si="25"/>
        <v>0</v>
      </c>
      <c r="M116" s="143" t="str">
        <f t="shared" si="13"/>
        <v>LOTTT</v>
      </c>
      <c r="N116" s="108">
        <f t="shared" si="14"/>
        <v>0</v>
      </c>
      <c r="O116" s="321">
        <f t="shared" si="15"/>
        <v>0</v>
      </c>
      <c r="P116" s="322"/>
      <c r="Q116" s="321">
        <f t="shared" si="22"/>
        <v>0</v>
      </c>
      <c r="R116" s="173">
        <f>IF(ISNUMBER(VLOOKUP(E116,InteresPres!$B$2:$W$14,Prestaciones!C116-1997+2,0)),VLOOKUP(E116,InteresPres!$B$2:$W$14,Prestaciones!C116-1997+2,0),"0")/100</f>
        <v>0</v>
      </c>
      <c r="S116" s="323">
        <f t="shared" si="16"/>
        <v>0</v>
      </c>
      <c r="T116" s="323">
        <f t="shared" si="23"/>
        <v>0</v>
      </c>
      <c r="U116" s="5"/>
    </row>
    <row r="117" spans="2:21" x14ac:dyDescent="0.25">
      <c r="B117" s="4"/>
      <c r="C117" s="108">
        <f t="shared" si="17"/>
        <v>2019</v>
      </c>
      <c r="D117" s="109">
        <f t="shared" si="18"/>
        <v>10</v>
      </c>
      <c r="E117" s="110" t="str">
        <f>VLOOKUP(D117,FECHAS!$A$3:$B$14,2,0)</f>
        <v>Octubre</v>
      </c>
      <c r="F117" s="319"/>
      <c r="G117" s="108">
        <f t="shared" si="27"/>
        <v>8</v>
      </c>
      <c r="H117" s="108">
        <f t="shared" si="28"/>
        <v>7</v>
      </c>
      <c r="I117" s="111">
        <f t="shared" si="21"/>
        <v>0</v>
      </c>
      <c r="J117" s="111">
        <v>5</v>
      </c>
      <c r="K117" s="111">
        <f t="shared" si="24"/>
        <v>15</v>
      </c>
      <c r="L117" s="111">
        <f t="shared" si="25"/>
        <v>0</v>
      </c>
      <c r="M117" s="143" t="str">
        <f t="shared" si="13"/>
        <v>LOTTT</v>
      </c>
      <c r="N117" s="108">
        <f t="shared" si="14"/>
        <v>15</v>
      </c>
      <c r="O117" s="321">
        <f t="shared" si="15"/>
        <v>0</v>
      </c>
      <c r="P117" s="322"/>
      <c r="Q117" s="321">
        <f t="shared" si="22"/>
        <v>0</v>
      </c>
      <c r="R117" s="173">
        <f>IF(ISNUMBER(VLOOKUP(E117,InteresPres!$B$2:$W$14,Prestaciones!C117-1997+2,0)),VLOOKUP(E117,InteresPres!$B$2:$W$14,Prestaciones!C117-1997+2,0),"0")/100</f>
        <v>0</v>
      </c>
      <c r="S117" s="323">
        <f t="shared" si="16"/>
        <v>0</v>
      </c>
      <c r="T117" s="323">
        <f t="shared" si="23"/>
        <v>0</v>
      </c>
      <c r="U117" s="5"/>
    </row>
    <row r="118" spans="2:21" x14ac:dyDescent="0.25">
      <c r="B118" s="4"/>
      <c r="C118" s="108">
        <f t="shared" si="17"/>
        <v>2019</v>
      </c>
      <c r="D118" s="109">
        <f t="shared" si="18"/>
        <v>11</v>
      </c>
      <c r="E118" s="110" t="str">
        <f>VLOOKUP(D118,FECHAS!$A$3:$B$14,2,0)</f>
        <v>Noviembre</v>
      </c>
      <c r="F118" s="319"/>
      <c r="G118" s="108">
        <f t="shared" si="27"/>
        <v>8</v>
      </c>
      <c r="H118" s="108">
        <f t="shared" si="28"/>
        <v>8</v>
      </c>
      <c r="I118" s="111">
        <f t="shared" si="21"/>
        <v>0</v>
      </c>
      <c r="J118" s="111">
        <v>5</v>
      </c>
      <c r="K118" s="111">
        <f t="shared" si="24"/>
        <v>0</v>
      </c>
      <c r="L118" s="111">
        <f t="shared" si="25"/>
        <v>0</v>
      </c>
      <c r="M118" s="143" t="str">
        <f t="shared" si="13"/>
        <v>LOTTT</v>
      </c>
      <c r="N118" s="108">
        <f t="shared" si="14"/>
        <v>0</v>
      </c>
      <c r="O118" s="321">
        <f t="shared" si="15"/>
        <v>0</v>
      </c>
      <c r="P118" s="322"/>
      <c r="Q118" s="321">
        <f t="shared" si="22"/>
        <v>0</v>
      </c>
      <c r="R118" s="173">
        <f>IF(ISNUMBER(VLOOKUP(E118,InteresPres!$B$2:$W$14,Prestaciones!C118-1997+2,0)),VLOOKUP(E118,InteresPres!$B$2:$W$14,Prestaciones!C118-1997+2,0),"0")/100</f>
        <v>0</v>
      </c>
      <c r="S118" s="323">
        <f t="shared" si="16"/>
        <v>0</v>
      </c>
      <c r="T118" s="323">
        <f t="shared" si="23"/>
        <v>0</v>
      </c>
      <c r="U118" s="5"/>
    </row>
    <row r="119" spans="2:21" x14ac:dyDescent="0.25">
      <c r="B119" s="4"/>
      <c r="C119" s="108">
        <f t="shared" si="17"/>
        <v>2019</v>
      </c>
      <c r="D119" s="109">
        <f t="shared" si="18"/>
        <v>12</v>
      </c>
      <c r="E119" s="110" t="str">
        <f>VLOOKUP(D119,FECHAS!$A$3:$B$14,2,0)</f>
        <v>Diciembre</v>
      </c>
      <c r="F119" s="319"/>
      <c r="G119" s="108">
        <f t="shared" si="27"/>
        <v>8</v>
      </c>
      <c r="H119" s="108">
        <f t="shared" si="28"/>
        <v>9</v>
      </c>
      <c r="I119" s="111">
        <f t="shared" si="21"/>
        <v>0</v>
      </c>
      <c r="J119" s="111">
        <v>5</v>
      </c>
      <c r="K119" s="111">
        <f t="shared" si="24"/>
        <v>0</v>
      </c>
      <c r="L119" s="111">
        <f t="shared" si="25"/>
        <v>0</v>
      </c>
      <c r="M119" s="143" t="str">
        <f t="shared" si="13"/>
        <v>LOTTT</v>
      </c>
      <c r="N119" s="108">
        <f t="shared" si="14"/>
        <v>0</v>
      </c>
      <c r="O119" s="321">
        <f t="shared" si="15"/>
        <v>0</v>
      </c>
      <c r="P119" s="322"/>
      <c r="Q119" s="321">
        <f t="shared" si="22"/>
        <v>0</v>
      </c>
      <c r="R119" s="173">
        <f>IF(ISNUMBER(VLOOKUP(E119,InteresPres!$B$2:$W$14,Prestaciones!C119-1997+2,0)),VLOOKUP(E119,InteresPres!$B$2:$W$14,Prestaciones!C119-1997+2,0),"0")/100</f>
        <v>0</v>
      </c>
      <c r="S119" s="323">
        <f t="shared" si="16"/>
        <v>0</v>
      </c>
      <c r="T119" s="323">
        <f t="shared" si="23"/>
        <v>0</v>
      </c>
      <c r="U119" s="5"/>
    </row>
    <row r="120" spans="2:21" x14ac:dyDescent="0.25">
      <c r="B120" s="4"/>
      <c r="C120" s="108">
        <f t="shared" si="17"/>
        <v>2020</v>
      </c>
      <c r="D120" s="109">
        <f t="shared" si="18"/>
        <v>1</v>
      </c>
      <c r="E120" s="110" t="str">
        <f>VLOOKUP(D120,FECHAS!$A$3:$B$14,2,0)</f>
        <v>Enero</v>
      </c>
      <c r="F120" s="319"/>
      <c r="G120" s="108">
        <f t="shared" si="27"/>
        <v>8</v>
      </c>
      <c r="H120" s="108">
        <f t="shared" si="28"/>
        <v>10</v>
      </c>
      <c r="I120" s="111">
        <f t="shared" si="21"/>
        <v>0</v>
      </c>
      <c r="J120" s="111">
        <v>5</v>
      </c>
      <c r="K120" s="111">
        <f t="shared" si="24"/>
        <v>15</v>
      </c>
      <c r="L120" s="111">
        <f t="shared" si="25"/>
        <v>0</v>
      </c>
      <c r="M120" s="143" t="str">
        <f t="shared" si="13"/>
        <v>LOTTT</v>
      </c>
      <c r="N120" s="108">
        <f t="shared" si="14"/>
        <v>15</v>
      </c>
      <c r="O120" s="321">
        <f t="shared" si="15"/>
        <v>0</v>
      </c>
      <c r="P120" s="322"/>
      <c r="Q120" s="321">
        <f t="shared" si="22"/>
        <v>0</v>
      </c>
      <c r="R120" s="173">
        <f>IF(ISNUMBER(VLOOKUP(E120,InteresPres!$B$2:$W$14,Prestaciones!C120-1997+2,0)),VLOOKUP(E120,InteresPres!$B$2:$W$14,Prestaciones!C120-1997+2,0),"0")/100</f>
        <v>0</v>
      </c>
      <c r="S120" s="323">
        <f t="shared" si="16"/>
        <v>0</v>
      </c>
      <c r="T120" s="323">
        <f t="shared" si="23"/>
        <v>0</v>
      </c>
      <c r="U120" s="5"/>
    </row>
    <row r="121" spans="2:21" x14ac:dyDescent="0.25">
      <c r="B121" s="4"/>
      <c r="C121" s="108">
        <f t="shared" si="17"/>
        <v>2020</v>
      </c>
      <c r="D121" s="109">
        <f t="shared" si="18"/>
        <v>2</v>
      </c>
      <c r="E121" s="110" t="str">
        <f>VLOOKUP(D121,FECHAS!$A$3:$B$14,2,0)</f>
        <v>Febrero</v>
      </c>
      <c r="F121" s="319"/>
      <c r="G121" s="108">
        <f t="shared" si="27"/>
        <v>8</v>
      </c>
      <c r="H121" s="108">
        <f t="shared" si="28"/>
        <v>11</v>
      </c>
      <c r="I121" s="111">
        <f t="shared" si="21"/>
        <v>0</v>
      </c>
      <c r="J121" s="111">
        <v>5</v>
      </c>
      <c r="K121" s="111">
        <f t="shared" si="24"/>
        <v>0</v>
      </c>
      <c r="L121" s="111">
        <f t="shared" si="25"/>
        <v>0</v>
      </c>
      <c r="M121" s="143" t="str">
        <f t="shared" si="13"/>
        <v>LOTTT</v>
      </c>
      <c r="N121" s="108">
        <f t="shared" si="14"/>
        <v>0</v>
      </c>
      <c r="O121" s="321">
        <f t="shared" si="15"/>
        <v>0</v>
      </c>
      <c r="P121" s="322"/>
      <c r="Q121" s="321">
        <f t="shared" si="22"/>
        <v>0</v>
      </c>
      <c r="R121" s="173">
        <f>IF(ISNUMBER(VLOOKUP(E121,InteresPres!$B$2:$W$14,Prestaciones!C121-1997+2,0)),VLOOKUP(E121,InteresPres!$B$2:$W$14,Prestaciones!C121-1997+2,0),"0")/100</f>
        <v>0</v>
      </c>
      <c r="S121" s="323">
        <f t="shared" si="16"/>
        <v>0</v>
      </c>
      <c r="T121" s="323">
        <f t="shared" si="23"/>
        <v>0</v>
      </c>
      <c r="U121" s="5"/>
    </row>
    <row r="122" spans="2:21" x14ac:dyDescent="0.25">
      <c r="B122" s="4"/>
      <c r="C122" s="108">
        <f t="shared" si="17"/>
        <v>2020</v>
      </c>
      <c r="D122" s="109">
        <f t="shared" si="18"/>
        <v>3</v>
      </c>
      <c r="E122" s="110" t="str">
        <f>VLOOKUP(D122,FECHAS!$A$3:$B$14,2,0)</f>
        <v>Marzo</v>
      </c>
      <c r="F122" s="319"/>
      <c r="G122" s="108">
        <f t="shared" si="27"/>
        <v>9</v>
      </c>
      <c r="H122" s="108">
        <f t="shared" si="28"/>
        <v>0</v>
      </c>
      <c r="I122" s="111">
        <f t="shared" si="21"/>
        <v>16</v>
      </c>
      <c r="J122" s="111">
        <v>5</v>
      </c>
      <c r="K122" s="111">
        <f t="shared" si="24"/>
        <v>0</v>
      </c>
      <c r="L122" s="111">
        <f t="shared" si="25"/>
        <v>0</v>
      </c>
      <c r="M122" s="143" t="str">
        <f t="shared" si="13"/>
        <v>LOTTT</v>
      </c>
      <c r="N122" s="108">
        <f t="shared" si="14"/>
        <v>16</v>
      </c>
      <c r="O122" s="321">
        <f t="shared" si="15"/>
        <v>0</v>
      </c>
      <c r="P122" s="322"/>
      <c r="Q122" s="321">
        <f t="shared" si="22"/>
        <v>0</v>
      </c>
      <c r="R122" s="173">
        <f>IF(ISNUMBER(VLOOKUP(E122,InteresPres!$B$2:$W$14,Prestaciones!C122-1997+2,0)),VLOOKUP(E122,InteresPres!$B$2:$W$14,Prestaciones!C122-1997+2,0),"0")/100</f>
        <v>0</v>
      </c>
      <c r="S122" s="323">
        <f t="shared" si="16"/>
        <v>0</v>
      </c>
      <c r="T122" s="323">
        <f t="shared" si="23"/>
        <v>0</v>
      </c>
      <c r="U122" s="5"/>
    </row>
    <row r="123" spans="2:21" x14ac:dyDescent="0.25">
      <c r="B123" s="4"/>
      <c r="C123" s="108">
        <f t="shared" si="17"/>
        <v>2020</v>
      </c>
      <c r="D123" s="109">
        <f t="shared" si="18"/>
        <v>4</v>
      </c>
      <c r="E123" s="110" t="str">
        <f>VLOOKUP(D123,FECHAS!$A$3:$B$14,2,0)</f>
        <v>Abril</v>
      </c>
      <c r="F123" s="319"/>
      <c r="G123" s="108">
        <f t="shared" si="27"/>
        <v>9</v>
      </c>
      <c r="H123" s="108">
        <f t="shared" si="28"/>
        <v>1</v>
      </c>
      <c r="I123" s="111">
        <f t="shared" si="21"/>
        <v>0</v>
      </c>
      <c r="J123" s="111">
        <v>5</v>
      </c>
      <c r="K123" s="111">
        <f t="shared" si="24"/>
        <v>15</v>
      </c>
      <c r="L123" s="111">
        <f t="shared" si="25"/>
        <v>0</v>
      </c>
      <c r="M123" s="143" t="str">
        <f t="shared" si="13"/>
        <v>LOTTT</v>
      </c>
      <c r="N123" s="108">
        <f t="shared" si="14"/>
        <v>15</v>
      </c>
      <c r="O123" s="321">
        <f t="shared" si="15"/>
        <v>0</v>
      </c>
      <c r="P123" s="322"/>
      <c r="Q123" s="321">
        <f t="shared" si="22"/>
        <v>0</v>
      </c>
      <c r="R123" s="173">
        <f>IF(ISNUMBER(VLOOKUP(E123,InteresPres!$B$2:$W$14,Prestaciones!C123-1997+2,0)),VLOOKUP(E123,InteresPres!$B$2:$W$14,Prestaciones!C123-1997+2,0),"0")/100</f>
        <v>0</v>
      </c>
      <c r="S123" s="323">
        <f t="shared" si="16"/>
        <v>0</v>
      </c>
      <c r="T123" s="323">
        <f t="shared" si="23"/>
        <v>0</v>
      </c>
      <c r="U123" s="5"/>
    </row>
    <row r="124" spans="2:21" x14ac:dyDescent="0.25">
      <c r="B124" s="4"/>
      <c r="C124" s="108">
        <f t="shared" si="17"/>
        <v>2020</v>
      </c>
      <c r="D124" s="109">
        <f t="shared" si="18"/>
        <v>5</v>
      </c>
      <c r="E124" s="110" t="str">
        <f>VLOOKUP(D124,FECHAS!$A$3:$B$14,2,0)</f>
        <v>Mayo</v>
      </c>
      <c r="F124" s="319"/>
      <c r="G124" s="108">
        <f t="shared" si="27"/>
        <v>9</v>
      </c>
      <c r="H124" s="108">
        <f t="shared" si="28"/>
        <v>2</v>
      </c>
      <c r="I124" s="111">
        <f t="shared" si="21"/>
        <v>0</v>
      </c>
      <c r="J124" s="111">
        <v>5</v>
      </c>
      <c r="K124" s="111">
        <f t="shared" si="24"/>
        <v>0</v>
      </c>
      <c r="L124" s="111">
        <f t="shared" si="25"/>
        <v>0</v>
      </c>
      <c r="M124" s="143" t="str">
        <f t="shared" si="13"/>
        <v>LOTTT</v>
      </c>
      <c r="N124" s="108">
        <f t="shared" si="14"/>
        <v>0</v>
      </c>
      <c r="O124" s="321">
        <f t="shared" si="15"/>
        <v>0</v>
      </c>
      <c r="P124" s="322"/>
      <c r="Q124" s="321">
        <f t="shared" si="22"/>
        <v>0</v>
      </c>
      <c r="R124" s="173">
        <f>IF(ISNUMBER(VLOOKUP(E124,InteresPres!$B$2:$W$14,Prestaciones!C124-1997+2,0)),VLOOKUP(E124,InteresPres!$B$2:$W$14,Prestaciones!C124-1997+2,0),"0")/100</f>
        <v>0</v>
      </c>
      <c r="S124" s="323">
        <f t="shared" si="16"/>
        <v>0</v>
      </c>
      <c r="T124" s="323">
        <f t="shared" si="23"/>
        <v>0</v>
      </c>
      <c r="U124" s="5"/>
    </row>
    <row r="125" spans="2:21" x14ac:dyDescent="0.25">
      <c r="B125" s="4"/>
      <c r="C125" s="108">
        <f t="shared" si="17"/>
        <v>2020</v>
      </c>
      <c r="D125" s="109">
        <f t="shared" si="18"/>
        <v>6</v>
      </c>
      <c r="E125" s="110" t="str">
        <f>VLOOKUP(D125,FECHAS!$A$3:$B$14,2,0)</f>
        <v>Junio</v>
      </c>
      <c r="F125" s="319"/>
      <c r="G125" s="108">
        <f t="shared" si="27"/>
        <v>9</v>
      </c>
      <c r="H125" s="108">
        <f t="shared" si="28"/>
        <v>3</v>
      </c>
      <c r="I125" s="111">
        <f t="shared" si="21"/>
        <v>0</v>
      </c>
      <c r="J125" s="111">
        <v>5</v>
      </c>
      <c r="K125" s="111">
        <f t="shared" si="24"/>
        <v>0</v>
      </c>
      <c r="L125" s="111">
        <f t="shared" si="25"/>
        <v>0</v>
      </c>
      <c r="M125" s="143" t="str">
        <f t="shared" si="13"/>
        <v>LOTTT</v>
      </c>
      <c r="N125" s="108">
        <f t="shared" si="14"/>
        <v>0</v>
      </c>
      <c r="O125" s="321">
        <f t="shared" si="15"/>
        <v>0</v>
      </c>
      <c r="P125" s="322"/>
      <c r="Q125" s="321">
        <f t="shared" si="22"/>
        <v>0</v>
      </c>
      <c r="R125" s="173">
        <f>IF(ISNUMBER(VLOOKUP(E125,InteresPres!$B$2:$W$14,Prestaciones!C125-1997+2,0)),VLOOKUP(E125,InteresPres!$B$2:$W$14,Prestaciones!C125-1997+2,0),"0")/100</f>
        <v>0</v>
      </c>
      <c r="S125" s="323">
        <f t="shared" si="16"/>
        <v>0</v>
      </c>
      <c r="T125" s="323">
        <f t="shared" si="23"/>
        <v>0</v>
      </c>
      <c r="U125" s="5"/>
    </row>
    <row r="126" spans="2:21" x14ac:dyDescent="0.25">
      <c r="B126" s="4"/>
      <c r="C126" s="108">
        <f t="shared" si="17"/>
        <v>2020</v>
      </c>
      <c r="D126" s="109">
        <f t="shared" si="18"/>
        <v>7</v>
      </c>
      <c r="E126" s="110" t="str">
        <f>VLOOKUP(D126,FECHAS!$A$3:$B$14,2,0)</f>
        <v>Julio</v>
      </c>
      <c r="F126" s="319"/>
      <c r="G126" s="108">
        <f t="shared" si="27"/>
        <v>9</v>
      </c>
      <c r="H126" s="108">
        <f t="shared" si="28"/>
        <v>4</v>
      </c>
      <c r="I126" s="111">
        <f t="shared" si="21"/>
        <v>0</v>
      </c>
      <c r="J126" s="111">
        <v>5</v>
      </c>
      <c r="K126" s="111">
        <f t="shared" si="24"/>
        <v>15</v>
      </c>
      <c r="L126" s="111">
        <f t="shared" si="25"/>
        <v>0</v>
      </c>
      <c r="M126" s="143" t="str">
        <f t="shared" si="13"/>
        <v>LOTTT</v>
      </c>
      <c r="N126" s="108">
        <f t="shared" si="14"/>
        <v>15</v>
      </c>
      <c r="O126" s="321">
        <f t="shared" si="15"/>
        <v>0</v>
      </c>
      <c r="P126" s="322"/>
      <c r="Q126" s="321">
        <f t="shared" si="22"/>
        <v>0</v>
      </c>
      <c r="R126" s="173">
        <f>IF(ISNUMBER(VLOOKUP(E126,InteresPres!$B$2:$W$14,Prestaciones!C126-1997+2,0)),VLOOKUP(E126,InteresPres!$B$2:$W$14,Prestaciones!C126-1997+2,0),"0")/100</f>
        <v>0</v>
      </c>
      <c r="S126" s="323">
        <f t="shared" si="16"/>
        <v>0</v>
      </c>
      <c r="T126" s="323">
        <f t="shared" si="23"/>
        <v>0</v>
      </c>
      <c r="U126" s="5"/>
    </row>
    <row r="127" spans="2:21" x14ac:dyDescent="0.25">
      <c r="B127" s="4"/>
      <c r="C127" s="108">
        <f t="shared" si="17"/>
        <v>2020</v>
      </c>
      <c r="D127" s="109">
        <f t="shared" si="18"/>
        <v>8</v>
      </c>
      <c r="E127" s="110" t="str">
        <f>VLOOKUP(D127,FECHAS!$A$3:$B$14,2,0)</f>
        <v>Agosto</v>
      </c>
      <c r="F127" s="319"/>
      <c r="G127" s="108">
        <f>IF(H126=11,G126+1,G126)</f>
        <v>9</v>
      </c>
      <c r="H127" s="108">
        <f>IF(H126=11,0,H126+1)</f>
        <v>5</v>
      </c>
      <c r="I127" s="111">
        <f t="shared" si="21"/>
        <v>0</v>
      </c>
      <c r="J127" s="111">
        <v>5</v>
      </c>
      <c r="K127" s="111">
        <f t="shared" si="24"/>
        <v>0</v>
      </c>
      <c r="L127" s="111">
        <f t="shared" si="25"/>
        <v>0</v>
      </c>
      <c r="M127" s="143" t="str">
        <f t="shared" si="13"/>
        <v>LOTTT</v>
      </c>
      <c r="N127" s="108">
        <f t="shared" si="14"/>
        <v>0</v>
      </c>
      <c r="O127" s="321">
        <f t="shared" si="15"/>
        <v>0</v>
      </c>
      <c r="P127" s="322"/>
      <c r="Q127" s="321">
        <f t="shared" si="22"/>
        <v>0</v>
      </c>
      <c r="R127" s="173">
        <f>IF(ISNUMBER(VLOOKUP(E127,InteresPres!$B$2:$W$14,Prestaciones!C127-1997+2,0)),VLOOKUP(E127,InteresPres!$B$2:$W$14,Prestaciones!C127-1997+2,0),"0")/100</f>
        <v>0</v>
      </c>
      <c r="S127" s="323">
        <f t="shared" si="16"/>
        <v>0</v>
      </c>
      <c r="T127" s="323">
        <f t="shared" si="23"/>
        <v>0</v>
      </c>
      <c r="U127" s="5"/>
    </row>
    <row r="128" spans="2:21" x14ac:dyDescent="0.25">
      <c r="B128" s="4"/>
      <c r="C128" s="108">
        <f t="shared" si="17"/>
        <v>2020</v>
      </c>
      <c r="D128" s="109">
        <f t="shared" si="18"/>
        <v>9</v>
      </c>
      <c r="E128" s="110" t="str">
        <f>VLOOKUP(D128,FECHAS!$A$3:$B$14,2,0)</f>
        <v>Septiembre</v>
      </c>
      <c r="F128" s="319"/>
      <c r="G128" s="108">
        <f t="shared" ref="G128:G146" si="29">IF(H127=11,G127+1,G127)</f>
        <v>9</v>
      </c>
      <c r="H128" s="108">
        <f t="shared" ref="H128:H146" si="30">IF(H127=11,0,H127+1)</f>
        <v>6</v>
      </c>
      <c r="I128" s="111">
        <f t="shared" si="21"/>
        <v>0</v>
      </c>
      <c r="J128" s="111">
        <v>5</v>
      </c>
      <c r="K128" s="111">
        <f t="shared" si="24"/>
        <v>0</v>
      </c>
      <c r="L128" s="111">
        <f t="shared" si="25"/>
        <v>0</v>
      </c>
      <c r="M128" s="143" t="str">
        <f t="shared" si="13"/>
        <v>LOTTT</v>
      </c>
      <c r="N128" s="108">
        <f t="shared" si="14"/>
        <v>0</v>
      </c>
      <c r="O128" s="321">
        <f t="shared" si="15"/>
        <v>0</v>
      </c>
      <c r="P128" s="322"/>
      <c r="Q128" s="321">
        <f t="shared" si="22"/>
        <v>0</v>
      </c>
      <c r="R128" s="173">
        <f>IF(ISNUMBER(VLOOKUP(E128,InteresPres!$B$2:$W$14,Prestaciones!C128-1997+2,0)),VLOOKUP(E128,InteresPres!$B$2:$W$14,Prestaciones!C128-1997+2,0),"0")/100</f>
        <v>0</v>
      </c>
      <c r="S128" s="323">
        <f t="shared" si="16"/>
        <v>0</v>
      </c>
      <c r="T128" s="323">
        <f t="shared" si="23"/>
        <v>0</v>
      </c>
      <c r="U128" s="5"/>
    </row>
    <row r="129" spans="2:21" x14ac:dyDescent="0.25">
      <c r="B129" s="4"/>
      <c r="C129" s="108">
        <f t="shared" si="17"/>
        <v>2020</v>
      </c>
      <c r="D129" s="109">
        <f t="shared" si="18"/>
        <v>10</v>
      </c>
      <c r="E129" s="110" t="str">
        <f>VLOOKUP(D129,FECHAS!$A$3:$B$14,2,0)</f>
        <v>Octubre</v>
      </c>
      <c r="F129" s="319"/>
      <c r="G129" s="108">
        <f t="shared" si="29"/>
        <v>9</v>
      </c>
      <c r="H129" s="108">
        <f t="shared" si="30"/>
        <v>7</v>
      </c>
      <c r="I129" s="111">
        <f t="shared" si="21"/>
        <v>0</v>
      </c>
      <c r="J129" s="111">
        <v>5</v>
      </c>
      <c r="K129" s="111">
        <f t="shared" si="24"/>
        <v>15</v>
      </c>
      <c r="L129" s="111">
        <f t="shared" si="25"/>
        <v>0</v>
      </c>
      <c r="M129" s="143" t="str">
        <f t="shared" si="13"/>
        <v>LOTTT</v>
      </c>
      <c r="N129" s="108">
        <f t="shared" si="14"/>
        <v>15</v>
      </c>
      <c r="O129" s="321">
        <f t="shared" si="15"/>
        <v>0</v>
      </c>
      <c r="P129" s="322"/>
      <c r="Q129" s="321">
        <f t="shared" si="22"/>
        <v>0</v>
      </c>
      <c r="R129" s="173">
        <f>IF(ISNUMBER(VLOOKUP(E129,InteresPres!$B$2:$W$14,Prestaciones!C129-1997+2,0)),VLOOKUP(E129,InteresPres!$B$2:$W$14,Prestaciones!C129-1997+2,0),"0")/100</f>
        <v>0</v>
      </c>
      <c r="S129" s="323">
        <f t="shared" si="16"/>
        <v>0</v>
      </c>
      <c r="T129" s="323">
        <f t="shared" si="23"/>
        <v>0</v>
      </c>
      <c r="U129" s="5"/>
    </row>
    <row r="130" spans="2:21" x14ac:dyDescent="0.25">
      <c r="B130" s="4"/>
      <c r="C130" s="108">
        <f t="shared" si="17"/>
        <v>2020</v>
      </c>
      <c r="D130" s="109">
        <f t="shared" si="18"/>
        <v>11</v>
      </c>
      <c r="E130" s="110" t="str">
        <f>VLOOKUP(D130,FECHAS!$A$3:$B$14,2,0)</f>
        <v>Noviembre</v>
      </c>
      <c r="F130" s="319"/>
      <c r="G130" s="108">
        <f t="shared" si="29"/>
        <v>9</v>
      </c>
      <c r="H130" s="108">
        <f t="shared" si="30"/>
        <v>8</v>
      </c>
      <c r="I130" s="111">
        <f t="shared" si="21"/>
        <v>0</v>
      </c>
      <c r="J130" s="111">
        <v>5</v>
      </c>
      <c r="K130" s="111">
        <f t="shared" si="24"/>
        <v>0</v>
      </c>
      <c r="L130" s="111">
        <f t="shared" si="25"/>
        <v>0</v>
      </c>
      <c r="M130" s="143" t="str">
        <f t="shared" si="13"/>
        <v>LOTTT</v>
      </c>
      <c r="N130" s="108">
        <f t="shared" si="14"/>
        <v>0</v>
      </c>
      <c r="O130" s="321">
        <f t="shared" si="15"/>
        <v>0</v>
      </c>
      <c r="P130" s="322"/>
      <c r="Q130" s="321">
        <f t="shared" si="22"/>
        <v>0</v>
      </c>
      <c r="R130" s="173">
        <f>IF(ISNUMBER(VLOOKUP(E130,InteresPres!$B$2:$W$14,Prestaciones!C130-1997+2,0)),VLOOKUP(E130,InteresPres!$B$2:$W$14,Prestaciones!C130-1997+2,0),"0")/100</f>
        <v>0</v>
      </c>
      <c r="S130" s="323">
        <f t="shared" si="16"/>
        <v>0</v>
      </c>
      <c r="T130" s="323">
        <f t="shared" si="23"/>
        <v>0</v>
      </c>
      <c r="U130" s="5"/>
    </row>
    <row r="131" spans="2:21" x14ac:dyDescent="0.25">
      <c r="B131" s="4"/>
      <c r="C131" s="108">
        <f t="shared" si="17"/>
        <v>2020</v>
      </c>
      <c r="D131" s="109">
        <f t="shared" si="18"/>
        <v>12</v>
      </c>
      <c r="E131" s="110" t="str">
        <f>VLOOKUP(D131,FECHAS!$A$3:$B$14,2,0)</f>
        <v>Diciembre</v>
      </c>
      <c r="F131" s="319"/>
      <c r="G131" s="108">
        <f t="shared" si="29"/>
        <v>9</v>
      </c>
      <c r="H131" s="108">
        <f t="shared" si="30"/>
        <v>9</v>
      </c>
      <c r="I131" s="111">
        <f t="shared" si="21"/>
        <v>0</v>
      </c>
      <c r="J131" s="111">
        <v>5</v>
      </c>
      <c r="K131" s="111">
        <f t="shared" si="24"/>
        <v>0</v>
      </c>
      <c r="L131" s="111">
        <f t="shared" si="25"/>
        <v>0</v>
      </c>
      <c r="M131" s="143" t="str">
        <f t="shared" si="13"/>
        <v>LOTTT</v>
      </c>
      <c r="N131" s="108">
        <f t="shared" si="14"/>
        <v>0</v>
      </c>
      <c r="O131" s="321">
        <f t="shared" si="15"/>
        <v>0</v>
      </c>
      <c r="P131" s="322"/>
      <c r="Q131" s="321">
        <f t="shared" si="22"/>
        <v>0</v>
      </c>
      <c r="R131" s="173">
        <f>IF(ISNUMBER(VLOOKUP(E131,InteresPres!$B$2:$W$14,Prestaciones!C131-1997+2,0)),VLOOKUP(E131,InteresPres!$B$2:$W$14,Prestaciones!C131-1997+2,0),"0")/100</f>
        <v>0</v>
      </c>
      <c r="S131" s="323">
        <f t="shared" si="16"/>
        <v>0</v>
      </c>
      <c r="T131" s="323">
        <f t="shared" si="23"/>
        <v>0</v>
      </c>
      <c r="U131" s="5"/>
    </row>
    <row r="132" spans="2:21" x14ac:dyDescent="0.25">
      <c r="B132" s="4"/>
      <c r="C132" s="108">
        <f t="shared" si="17"/>
        <v>2021</v>
      </c>
      <c r="D132" s="109">
        <f t="shared" si="18"/>
        <v>1</v>
      </c>
      <c r="E132" s="110" t="str">
        <f>VLOOKUP(D132,FECHAS!$A$3:$B$14,2,0)</f>
        <v>Enero</v>
      </c>
      <c r="F132" s="319"/>
      <c r="G132" s="108">
        <f t="shared" si="29"/>
        <v>9</v>
      </c>
      <c r="H132" s="108">
        <f t="shared" si="30"/>
        <v>10</v>
      </c>
      <c r="I132" s="111">
        <f t="shared" si="21"/>
        <v>0</v>
      </c>
      <c r="J132" s="111">
        <v>5</v>
      </c>
      <c r="K132" s="111">
        <f t="shared" si="24"/>
        <v>15</v>
      </c>
      <c r="L132" s="111">
        <f t="shared" si="25"/>
        <v>0</v>
      </c>
      <c r="M132" s="143" t="str">
        <f t="shared" si="13"/>
        <v>LOTTT</v>
      </c>
      <c r="N132" s="108">
        <f t="shared" si="14"/>
        <v>15</v>
      </c>
      <c r="O132" s="321">
        <f t="shared" si="15"/>
        <v>0</v>
      </c>
      <c r="P132" s="322"/>
      <c r="Q132" s="321">
        <f t="shared" si="22"/>
        <v>0</v>
      </c>
      <c r="R132" s="173">
        <f>IF(ISNUMBER(VLOOKUP(E132,InteresPres!$B$2:$W$14,Prestaciones!C132-1997+2,0)),VLOOKUP(E132,InteresPres!$B$2:$W$14,Prestaciones!C132-1997+2,0),"0")/100</f>
        <v>0</v>
      </c>
      <c r="S132" s="323">
        <f t="shared" si="16"/>
        <v>0</v>
      </c>
      <c r="T132" s="323">
        <f t="shared" si="23"/>
        <v>0</v>
      </c>
      <c r="U132" s="5"/>
    </row>
    <row r="133" spans="2:21" x14ac:dyDescent="0.25">
      <c r="B133" s="4"/>
      <c r="C133" s="108">
        <f t="shared" si="17"/>
        <v>2021</v>
      </c>
      <c r="D133" s="109">
        <f t="shared" si="18"/>
        <v>2</v>
      </c>
      <c r="E133" s="110" t="str">
        <f>VLOOKUP(D133,FECHAS!$A$3:$B$14,2,0)</f>
        <v>Febrero</v>
      </c>
      <c r="F133" s="319"/>
      <c r="G133" s="108">
        <f t="shared" si="29"/>
        <v>9</v>
      </c>
      <c r="H133" s="108">
        <f t="shared" si="30"/>
        <v>11</v>
      </c>
      <c r="I133" s="111">
        <f t="shared" si="21"/>
        <v>0</v>
      </c>
      <c r="J133" s="111">
        <v>5</v>
      </c>
      <c r="K133" s="111">
        <f t="shared" si="24"/>
        <v>0</v>
      </c>
      <c r="L133" s="111">
        <f t="shared" si="25"/>
        <v>0</v>
      </c>
      <c r="M133" s="143" t="str">
        <f t="shared" si="13"/>
        <v>LOTTT</v>
      </c>
      <c r="N133" s="108">
        <f t="shared" si="14"/>
        <v>0</v>
      </c>
      <c r="O133" s="321">
        <f t="shared" si="15"/>
        <v>0</v>
      </c>
      <c r="P133" s="322"/>
      <c r="Q133" s="321">
        <f t="shared" si="22"/>
        <v>0</v>
      </c>
      <c r="R133" s="173">
        <f>IF(ISNUMBER(VLOOKUP(E133,InteresPres!$B$2:$W$14,Prestaciones!C133-1997+2,0)),VLOOKUP(E133,InteresPres!$B$2:$W$14,Prestaciones!C133-1997+2,0),"0")/100</f>
        <v>0</v>
      </c>
      <c r="S133" s="323">
        <f t="shared" si="16"/>
        <v>0</v>
      </c>
      <c r="T133" s="323">
        <f t="shared" si="23"/>
        <v>0</v>
      </c>
      <c r="U133" s="5"/>
    </row>
    <row r="134" spans="2:21" x14ac:dyDescent="0.25">
      <c r="B134" s="4"/>
      <c r="C134" s="108">
        <f t="shared" si="17"/>
        <v>2021</v>
      </c>
      <c r="D134" s="109">
        <f t="shared" si="18"/>
        <v>3</v>
      </c>
      <c r="E134" s="110" t="str">
        <f>VLOOKUP(D134,FECHAS!$A$3:$B$14,2,0)</f>
        <v>Marzo</v>
      </c>
      <c r="F134" s="319"/>
      <c r="G134" s="108">
        <f t="shared" si="29"/>
        <v>10</v>
      </c>
      <c r="H134" s="108">
        <f t="shared" si="30"/>
        <v>0</v>
      </c>
      <c r="I134" s="111">
        <f t="shared" si="21"/>
        <v>18</v>
      </c>
      <c r="J134" s="111">
        <v>5</v>
      </c>
      <c r="K134" s="111">
        <f t="shared" si="24"/>
        <v>0</v>
      </c>
      <c r="L134" s="111">
        <f t="shared" si="25"/>
        <v>0</v>
      </c>
      <c r="M134" s="143" t="str">
        <f t="shared" si="13"/>
        <v>LOTTT</v>
      </c>
      <c r="N134" s="108">
        <f t="shared" si="14"/>
        <v>18</v>
      </c>
      <c r="O134" s="321">
        <f t="shared" si="15"/>
        <v>0</v>
      </c>
      <c r="P134" s="322"/>
      <c r="Q134" s="321">
        <f t="shared" si="22"/>
        <v>0</v>
      </c>
      <c r="R134" s="173">
        <f>IF(ISNUMBER(VLOOKUP(E134,InteresPres!$B$2:$W$14,Prestaciones!C134-1997+2,0)),VLOOKUP(E134,InteresPres!$B$2:$W$14,Prestaciones!C134-1997+2,0),"0")/100</f>
        <v>0</v>
      </c>
      <c r="S134" s="323">
        <f t="shared" si="16"/>
        <v>0</v>
      </c>
      <c r="T134" s="323">
        <f t="shared" si="23"/>
        <v>0</v>
      </c>
      <c r="U134" s="5"/>
    </row>
    <row r="135" spans="2:21" x14ac:dyDescent="0.25">
      <c r="B135" s="4"/>
      <c r="C135" s="108">
        <f t="shared" si="17"/>
        <v>2021</v>
      </c>
      <c r="D135" s="109">
        <f t="shared" si="18"/>
        <v>4</v>
      </c>
      <c r="E135" s="110" t="str">
        <f>VLOOKUP(D135,FECHAS!$A$3:$B$14,2,0)</f>
        <v>Abril</v>
      </c>
      <c r="F135" s="319"/>
      <c r="G135" s="108">
        <f t="shared" si="29"/>
        <v>10</v>
      </c>
      <c r="H135" s="108">
        <f t="shared" si="30"/>
        <v>1</v>
      </c>
      <c r="I135" s="111">
        <f t="shared" si="21"/>
        <v>0</v>
      </c>
      <c r="J135" s="111">
        <v>5</v>
      </c>
      <c r="K135" s="111">
        <f t="shared" si="24"/>
        <v>15</v>
      </c>
      <c r="L135" s="111">
        <f t="shared" si="25"/>
        <v>0</v>
      </c>
      <c r="M135" s="143" t="str">
        <f t="shared" si="13"/>
        <v>LOTTT</v>
      </c>
      <c r="N135" s="108">
        <f t="shared" si="14"/>
        <v>15</v>
      </c>
      <c r="O135" s="321">
        <f t="shared" si="15"/>
        <v>0</v>
      </c>
      <c r="P135" s="322"/>
      <c r="Q135" s="321">
        <f t="shared" si="22"/>
        <v>0</v>
      </c>
      <c r="R135" s="173">
        <f>IF(ISNUMBER(VLOOKUP(E135,InteresPres!$B$2:$W$14,Prestaciones!C135-1997+2,0)),VLOOKUP(E135,InteresPres!$B$2:$W$14,Prestaciones!C135-1997+2,0),"0")/100</f>
        <v>0</v>
      </c>
      <c r="S135" s="323">
        <f t="shared" si="16"/>
        <v>0</v>
      </c>
      <c r="T135" s="323">
        <f t="shared" si="23"/>
        <v>0</v>
      </c>
      <c r="U135" s="5"/>
    </row>
    <row r="136" spans="2:21" x14ac:dyDescent="0.25">
      <c r="B136" s="4"/>
      <c r="C136" s="108">
        <f t="shared" si="17"/>
        <v>2021</v>
      </c>
      <c r="D136" s="109">
        <f t="shared" si="18"/>
        <v>5</v>
      </c>
      <c r="E136" s="110" t="str">
        <f>VLOOKUP(D136,FECHAS!$A$3:$B$14,2,0)</f>
        <v>Mayo</v>
      </c>
      <c r="F136" s="319"/>
      <c r="G136" s="108">
        <f t="shared" si="29"/>
        <v>10</v>
      </c>
      <c r="H136" s="108">
        <f t="shared" si="30"/>
        <v>2</v>
      </c>
      <c r="I136" s="111">
        <f t="shared" si="21"/>
        <v>0</v>
      </c>
      <c r="J136" s="111">
        <v>5</v>
      </c>
      <c r="K136" s="111">
        <f t="shared" si="24"/>
        <v>0</v>
      </c>
      <c r="L136" s="111">
        <f t="shared" si="25"/>
        <v>0</v>
      </c>
      <c r="M136" s="143" t="str">
        <f t="shared" si="13"/>
        <v>LOTTT</v>
      </c>
      <c r="N136" s="108">
        <f t="shared" si="14"/>
        <v>0</v>
      </c>
      <c r="O136" s="321">
        <f t="shared" si="15"/>
        <v>0</v>
      </c>
      <c r="P136" s="322"/>
      <c r="Q136" s="321">
        <f t="shared" si="22"/>
        <v>0</v>
      </c>
      <c r="R136" s="173">
        <f>IF(ISNUMBER(VLOOKUP(E136,InteresPres!$B$2:$W$14,Prestaciones!C136-1997+2,0)),VLOOKUP(E136,InteresPres!$B$2:$W$14,Prestaciones!C136-1997+2,0),"0")/100</f>
        <v>0</v>
      </c>
      <c r="S136" s="323">
        <f t="shared" si="16"/>
        <v>0</v>
      </c>
      <c r="T136" s="323">
        <f t="shared" si="23"/>
        <v>0</v>
      </c>
      <c r="U136" s="5"/>
    </row>
    <row r="137" spans="2:21" x14ac:dyDescent="0.25">
      <c r="B137" s="4"/>
      <c r="C137" s="108">
        <f t="shared" si="17"/>
        <v>2021</v>
      </c>
      <c r="D137" s="109">
        <f t="shared" si="18"/>
        <v>6</v>
      </c>
      <c r="E137" s="110" t="str">
        <f>VLOOKUP(D137,FECHAS!$A$3:$B$14,2,0)</f>
        <v>Junio</v>
      </c>
      <c r="F137" s="319"/>
      <c r="G137" s="108">
        <f t="shared" si="29"/>
        <v>10</v>
      </c>
      <c r="H137" s="108">
        <f t="shared" si="30"/>
        <v>3</v>
      </c>
      <c r="I137" s="111">
        <f t="shared" si="21"/>
        <v>0</v>
      </c>
      <c r="J137" s="111">
        <v>5</v>
      </c>
      <c r="K137" s="111">
        <f t="shared" si="24"/>
        <v>0</v>
      </c>
      <c r="L137" s="111">
        <f t="shared" si="25"/>
        <v>0</v>
      </c>
      <c r="M137" s="143" t="str">
        <f t="shared" si="13"/>
        <v>LOTTT</v>
      </c>
      <c r="N137" s="108">
        <f t="shared" si="14"/>
        <v>0</v>
      </c>
      <c r="O137" s="321">
        <f t="shared" si="15"/>
        <v>0</v>
      </c>
      <c r="P137" s="322"/>
      <c r="Q137" s="321">
        <f t="shared" si="22"/>
        <v>0</v>
      </c>
      <c r="R137" s="173">
        <f>IF(ISNUMBER(VLOOKUP(E137,InteresPres!$B$2:$W$14,Prestaciones!C137-1997+2,0)),VLOOKUP(E137,InteresPres!$B$2:$W$14,Prestaciones!C137-1997+2,0),"0")/100</f>
        <v>0</v>
      </c>
      <c r="S137" s="323">
        <f t="shared" si="16"/>
        <v>0</v>
      </c>
      <c r="T137" s="323">
        <f t="shared" si="23"/>
        <v>0</v>
      </c>
      <c r="U137" s="5"/>
    </row>
    <row r="138" spans="2:21" x14ac:dyDescent="0.25">
      <c r="B138" s="4"/>
      <c r="C138" s="108">
        <f t="shared" si="17"/>
        <v>2021</v>
      </c>
      <c r="D138" s="109">
        <f t="shared" si="18"/>
        <v>7</v>
      </c>
      <c r="E138" s="110" t="str">
        <f>VLOOKUP(D138,FECHAS!$A$3:$B$14,2,0)</f>
        <v>Julio</v>
      </c>
      <c r="F138" s="319"/>
      <c r="G138" s="108">
        <f t="shared" si="29"/>
        <v>10</v>
      </c>
      <c r="H138" s="108">
        <f t="shared" si="30"/>
        <v>4</v>
      </c>
      <c r="I138" s="111">
        <f t="shared" si="21"/>
        <v>0</v>
      </c>
      <c r="J138" s="111">
        <v>5</v>
      </c>
      <c r="K138" s="111">
        <f t="shared" si="24"/>
        <v>15</v>
      </c>
      <c r="L138" s="111">
        <f t="shared" si="25"/>
        <v>0</v>
      </c>
      <c r="M138" s="143" t="str">
        <f t="shared" si="13"/>
        <v>LOTTT</v>
      </c>
      <c r="N138" s="108">
        <f t="shared" si="14"/>
        <v>15</v>
      </c>
      <c r="O138" s="321">
        <f t="shared" si="15"/>
        <v>0</v>
      </c>
      <c r="P138" s="322"/>
      <c r="Q138" s="321">
        <f t="shared" si="22"/>
        <v>0</v>
      </c>
      <c r="R138" s="173">
        <f>IF(ISNUMBER(VLOOKUP(E138,InteresPres!$B$2:$W$14,Prestaciones!C138-1997+2,0)),VLOOKUP(E138,InteresPres!$B$2:$W$14,Prestaciones!C138-1997+2,0),"0")/100</f>
        <v>0</v>
      </c>
      <c r="S138" s="323">
        <f t="shared" si="16"/>
        <v>0</v>
      </c>
      <c r="T138" s="323">
        <f t="shared" si="23"/>
        <v>0</v>
      </c>
      <c r="U138" s="5"/>
    </row>
    <row r="139" spans="2:21" x14ac:dyDescent="0.25">
      <c r="B139" s="4"/>
      <c r="C139" s="108">
        <f t="shared" si="17"/>
        <v>2021</v>
      </c>
      <c r="D139" s="109">
        <f t="shared" si="18"/>
        <v>8</v>
      </c>
      <c r="E139" s="110" t="str">
        <f>VLOOKUP(D139,FECHAS!$A$3:$B$14,2,0)</f>
        <v>Agosto</v>
      </c>
      <c r="F139" s="319"/>
      <c r="G139" s="108">
        <f t="shared" si="29"/>
        <v>10</v>
      </c>
      <c r="H139" s="108">
        <f t="shared" si="30"/>
        <v>5</v>
      </c>
      <c r="I139" s="111">
        <f t="shared" si="21"/>
        <v>0</v>
      </c>
      <c r="J139" s="111">
        <v>5</v>
      </c>
      <c r="K139" s="111">
        <f t="shared" si="24"/>
        <v>0</v>
      </c>
      <c r="L139" s="111">
        <f t="shared" si="25"/>
        <v>0</v>
      </c>
      <c r="M139" s="143" t="str">
        <f t="shared" si="13"/>
        <v>LOTTT</v>
      </c>
      <c r="N139" s="108">
        <f t="shared" si="14"/>
        <v>0</v>
      </c>
      <c r="O139" s="321">
        <f t="shared" si="15"/>
        <v>0</v>
      </c>
      <c r="P139" s="322"/>
      <c r="Q139" s="321">
        <f t="shared" si="22"/>
        <v>0</v>
      </c>
      <c r="R139" s="173">
        <f>IF(ISNUMBER(VLOOKUP(E139,InteresPres!$B$2:$W$14,Prestaciones!C139-1997+2,0)),VLOOKUP(E139,InteresPres!$B$2:$W$14,Prestaciones!C139-1997+2,0),"0")/100</f>
        <v>0</v>
      </c>
      <c r="S139" s="323">
        <f t="shared" si="16"/>
        <v>0</v>
      </c>
      <c r="T139" s="323">
        <f t="shared" si="23"/>
        <v>0</v>
      </c>
      <c r="U139" s="5"/>
    </row>
    <row r="140" spans="2:21" x14ac:dyDescent="0.25">
      <c r="B140" s="4"/>
      <c r="C140" s="108">
        <f t="shared" si="17"/>
        <v>2021</v>
      </c>
      <c r="D140" s="109">
        <f t="shared" si="18"/>
        <v>9</v>
      </c>
      <c r="E140" s="110" t="str">
        <f>VLOOKUP(D140,FECHAS!$A$3:$B$14,2,0)</f>
        <v>Septiembre</v>
      </c>
      <c r="F140" s="319"/>
      <c r="G140" s="108">
        <f t="shared" si="29"/>
        <v>10</v>
      </c>
      <c r="H140" s="108">
        <f t="shared" si="30"/>
        <v>6</v>
      </c>
      <c r="I140" s="111">
        <f t="shared" si="21"/>
        <v>0</v>
      </c>
      <c r="J140" s="111">
        <v>5</v>
      </c>
      <c r="K140" s="111">
        <f t="shared" si="24"/>
        <v>0</v>
      </c>
      <c r="L140" s="111">
        <f t="shared" si="25"/>
        <v>0</v>
      </c>
      <c r="M140" s="143" t="str">
        <f t="shared" si="13"/>
        <v>LOTTT</v>
      </c>
      <c r="N140" s="108">
        <f t="shared" si="14"/>
        <v>0</v>
      </c>
      <c r="O140" s="321">
        <f t="shared" si="15"/>
        <v>0</v>
      </c>
      <c r="P140" s="322"/>
      <c r="Q140" s="321">
        <f t="shared" si="22"/>
        <v>0</v>
      </c>
      <c r="R140" s="173">
        <f>IF(ISNUMBER(VLOOKUP(E140,InteresPres!$B$2:$W$14,Prestaciones!C140-1997+2,0)),VLOOKUP(E140,InteresPres!$B$2:$W$14,Prestaciones!C140-1997+2,0),"0")/100</f>
        <v>0</v>
      </c>
      <c r="S140" s="323">
        <f t="shared" si="16"/>
        <v>0</v>
      </c>
      <c r="T140" s="323">
        <f t="shared" si="23"/>
        <v>0</v>
      </c>
      <c r="U140" s="5"/>
    </row>
    <row r="141" spans="2:21" x14ac:dyDescent="0.25">
      <c r="B141" s="4"/>
      <c r="C141" s="108">
        <f t="shared" si="17"/>
        <v>2021</v>
      </c>
      <c r="D141" s="109">
        <f t="shared" si="18"/>
        <v>10</v>
      </c>
      <c r="E141" s="110" t="str">
        <f>VLOOKUP(D141,FECHAS!$A$3:$B$14,2,0)</f>
        <v>Octubre</v>
      </c>
      <c r="F141" s="319"/>
      <c r="G141" s="108">
        <f t="shared" si="29"/>
        <v>10</v>
      </c>
      <c r="H141" s="108">
        <f t="shared" si="30"/>
        <v>7</v>
      </c>
      <c r="I141" s="111">
        <f t="shared" si="21"/>
        <v>0</v>
      </c>
      <c r="J141" s="111">
        <v>5</v>
      </c>
      <c r="K141" s="111">
        <f t="shared" si="24"/>
        <v>15</v>
      </c>
      <c r="L141" s="111">
        <f t="shared" si="25"/>
        <v>0</v>
      </c>
      <c r="M141" s="143" t="str">
        <f t="shared" si="13"/>
        <v>LOTTT</v>
      </c>
      <c r="N141" s="108">
        <f t="shared" si="14"/>
        <v>15</v>
      </c>
      <c r="O141" s="321">
        <f t="shared" si="15"/>
        <v>0</v>
      </c>
      <c r="P141" s="322"/>
      <c r="Q141" s="321">
        <f t="shared" si="22"/>
        <v>0</v>
      </c>
      <c r="R141" s="173">
        <f>IF(ISNUMBER(VLOOKUP(E141,InteresPres!$B$2:$W$14,Prestaciones!C141-1997+2,0)),VLOOKUP(E141,InteresPres!$B$2:$W$14,Prestaciones!C141-1997+2,0),"0")/100</f>
        <v>0</v>
      </c>
      <c r="S141" s="323">
        <f t="shared" si="16"/>
        <v>0</v>
      </c>
      <c r="T141" s="323">
        <f t="shared" si="23"/>
        <v>0</v>
      </c>
      <c r="U141" s="5"/>
    </row>
    <row r="142" spans="2:21" x14ac:dyDescent="0.25">
      <c r="B142" s="4"/>
      <c r="C142" s="108">
        <f t="shared" si="17"/>
        <v>2021</v>
      </c>
      <c r="D142" s="109">
        <f t="shared" si="18"/>
        <v>11</v>
      </c>
      <c r="E142" s="110" t="str">
        <f>VLOOKUP(D142,FECHAS!$A$3:$B$14,2,0)</f>
        <v>Noviembre</v>
      </c>
      <c r="F142" s="319"/>
      <c r="G142" s="108">
        <f t="shared" si="29"/>
        <v>10</v>
      </c>
      <c r="H142" s="108">
        <f t="shared" si="30"/>
        <v>8</v>
      </c>
      <c r="I142" s="111">
        <f t="shared" si="21"/>
        <v>0</v>
      </c>
      <c r="J142" s="111">
        <v>5</v>
      </c>
      <c r="K142" s="111">
        <f t="shared" si="24"/>
        <v>0</v>
      </c>
      <c r="L142" s="111">
        <f t="shared" si="25"/>
        <v>0</v>
      </c>
      <c r="M142" s="143" t="str">
        <f t="shared" si="13"/>
        <v>LOTTT</v>
      </c>
      <c r="N142" s="108">
        <f t="shared" si="14"/>
        <v>0</v>
      </c>
      <c r="O142" s="321">
        <f t="shared" si="15"/>
        <v>0</v>
      </c>
      <c r="P142" s="322"/>
      <c r="Q142" s="321">
        <f t="shared" si="22"/>
        <v>0</v>
      </c>
      <c r="R142" s="173">
        <f>IF(ISNUMBER(VLOOKUP(E142,InteresPres!$B$2:$W$14,Prestaciones!C142-1997+2,0)),VLOOKUP(E142,InteresPres!$B$2:$W$14,Prestaciones!C142-1997+2,0),"0")/100</f>
        <v>0</v>
      </c>
      <c r="S142" s="323">
        <f t="shared" si="16"/>
        <v>0</v>
      </c>
      <c r="T142" s="323">
        <f t="shared" si="23"/>
        <v>0</v>
      </c>
      <c r="U142" s="5"/>
    </row>
    <row r="143" spans="2:21" x14ac:dyDescent="0.25">
      <c r="B143" s="4"/>
      <c r="C143" s="108">
        <f t="shared" si="17"/>
        <v>2021</v>
      </c>
      <c r="D143" s="109">
        <f t="shared" si="18"/>
        <v>12</v>
      </c>
      <c r="E143" s="110" t="str">
        <f>VLOOKUP(D143,FECHAS!$A$3:$B$14,2,0)</f>
        <v>Diciembre</v>
      </c>
      <c r="F143" s="319"/>
      <c r="G143" s="108">
        <f t="shared" si="29"/>
        <v>10</v>
      </c>
      <c r="H143" s="108">
        <f t="shared" si="30"/>
        <v>9</v>
      </c>
      <c r="I143" s="111">
        <f t="shared" si="21"/>
        <v>0</v>
      </c>
      <c r="J143" s="111">
        <v>5</v>
      </c>
      <c r="K143" s="111">
        <f t="shared" si="24"/>
        <v>0</v>
      </c>
      <c r="L143" s="111">
        <f t="shared" si="25"/>
        <v>0</v>
      </c>
      <c r="M143" s="143" t="str">
        <f t="shared" ref="M143:M205" si="31">IF(OR(AND(C143&gt;=2012,D143&gt;=5),C143&gt;2012),"LOTTT","LOT")</f>
        <v>LOTTT</v>
      </c>
      <c r="N143" s="108">
        <f t="shared" ref="N143:N205" si="32">IF(M143="LOT",I143+J143,I143+K143)</f>
        <v>0</v>
      </c>
      <c r="O143" s="321">
        <f t="shared" ref="O143:O205" si="33">(F143/30)*N143</f>
        <v>0</v>
      </c>
      <c r="P143" s="322"/>
      <c r="Q143" s="321">
        <f t="shared" si="22"/>
        <v>0</v>
      </c>
      <c r="R143" s="173">
        <f>IF(ISNUMBER(VLOOKUP(E143,InteresPres!$B$2:$W$14,Prestaciones!C143-1997+2,0)),VLOOKUP(E143,InteresPres!$B$2:$W$14,Prestaciones!C143-1997+2,0),"0")/100</f>
        <v>0</v>
      </c>
      <c r="S143" s="323">
        <f t="shared" ref="S143:S205" si="34">IF(F143&gt;0,(R143/12)*Q143,0)</f>
        <v>0</v>
      </c>
      <c r="T143" s="323">
        <f t="shared" si="23"/>
        <v>0</v>
      </c>
      <c r="U143" s="5"/>
    </row>
    <row r="144" spans="2:21" x14ac:dyDescent="0.25">
      <c r="B144" s="4"/>
      <c r="C144" s="108">
        <f t="shared" ref="C144:C205" si="35">IF(D143=12,C143+1,C143)</f>
        <v>2022</v>
      </c>
      <c r="D144" s="109">
        <f t="shared" ref="D144:D207" si="36">IF(D143=12,1,D143+1)</f>
        <v>1</v>
      </c>
      <c r="E144" s="110" t="str">
        <f>VLOOKUP(D144,FECHAS!$A$3:$B$14,2,0)</f>
        <v>Enero</v>
      </c>
      <c r="F144" s="319"/>
      <c r="G144" s="108">
        <f t="shared" si="29"/>
        <v>10</v>
      </c>
      <c r="H144" s="108">
        <f t="shared" si="30"/>
        <v>10</v>
      </c>
      <c r="I144" s="111">
        <f t="shared" ref="I144:I207" si="37">lottt192(G144,H143)</f>
        <v>0</v>
      </c>
      <c r="J144" s="111">
        <v>5</v>
      </c>
      <c r="K144" s="111">
        <f t="shared" si="24"/>
        <v>15</v>
      </c>
      <c r="L144" s="111">
        <f t="shared" si="25"/>
        <v>0</v>
      </c>
      <c r="M144" s="143" t="str">
        <f t="shared" si="31"/>
        <v>LOTTT</v>
      </c>
      <c r="N144" s="108">
        <f t="shared" si="32"/>
        <v>15</v>
      </c>
      <c r="O144" s="321">
        <f t="shared" si="33"/>
        <v>0</v>
      </c>
      <c r="P144" s="322"/>
      <c r="Q144" s="321">
        <f t="shared" ref="Q144:Q205" si="38">IF(F144&gt;0,O144+Q143+P144,0)</f>
        <v>0</v>
      </c>
      <c r="R144" s="173">
        <f>IF(ISNUMBER(VLOOKUP(E144,InteresPres!$B$2:$W$14,Prestaciones!C144-1997+2,0)),VLOOKUP(E144,InteresPres!$B$2:$W$14,Prestaciones!C144-1997+2,0),"0")/100</f>
        <v>0</v>
      </c>
      <c r="S144" s="323">
        <f t="shared" si="34"/>
        <v>0</v>
      </c>
      <c r="T144" s="323">
        <f t="shared" ref="T144:T205" si="39">IF(F144&gt;0,S144+T143,0)</f>
        <v>0</v>
      </c>
      <c r="U144" s="5"/>
    </row>
    <row r="145" spans="2:21" x14ac:dyDescent="0.25">
      <c r="B145" s="4"/>
      <c r="C145" s="108">
        <f t="shared" si="35"/>
        <v>2022</v>
      </c>
      <c r="D145" s="109">
        <f t="shared" si="36"/>
        <v>2</v>
      </c>
      <c r="E145" s="110" t="str">
        <f>VLOOKUP(D145,FECHAS!$A$3:$B$14,2,0)</f>
        <v>Febrero</v>
      </c>
      <c r="F145" s="319"/>
      <c r="G145" s="108">
        <f t="shared" si="29"/>
        <v>10</v>
      </c>
      <c r="H145" s="108">
        <f t="shared" si="30"/>
        <v>11</v>
      </c>
      <c r="I145" s="111">
        <f t="shared" si="37"/>
        <v>0</v>
      </c>
      <c r="J145" s="111">
        <v>5</v>
      </c>
      <c r="K145" s="111">
        <f t="shared" ref="K145:K205" si="40">IF(OR(D145=7,D145=10,D145=1,D145=4),15,0)</f>
        <v>0</v>
      </c>
      <c r="L145" s="111">
        <f t="shared" ref="L145:L205" si="41">IF(AND(C145=2012,D145=6),-5,0)</f>
        <v>0</v>
      </c>
      <c r="M145" s="143" t="str">
        <f t="shared" si="31"/>
        <v>LOTTT</v>
      </c>
      <c r="N145" s="108">
        <f t="shared" si="32"/>
        <v>0</v>
      </c>
      <c r="O145" s="321">
        <f t="shared" si="33"/>
        <v>0</v>
      </c>
      <c r="P145" s="322"/>
      <c r="Q145" s="321">
        <f t="shared" si="38"/>
        <v>0</v>
      </c>
      <c r="R145" s="173">
        <f>IF(ISNUMBER(VLOOKUP(E145,InteresPres!$B$2:$W$14,Prestaciones!C145-1997+2,0)),VLOOKUP(E145,InteresPres!$B$2:$W$14,Prestaciones!C145-1997+2,0),"0")/100</f>
        <v>0</v>
      </c>
      <c r="S145" s="323">
        <f t="shared" si="34"/>
        <v>0</v>
      </c>
      <c r="T145" s="323">
        <f t="shared" si="39"/>
        <v>0</v>
      </c>
      <c r="U145" s="5"/>
    </row>
    <row r="146" spans="2:21" x14ac:dyDescent="0.25">
      <c r="B146" s="4"/>
      <c r="C146" s="108">
        <f t="shared" si="35"/>
        <v>2022</v>
      </c>
      <c r="D146" s="109">
        <f t="shared" si="36"/>
        <v>3</v>
      </c>
      <c r="E146" s="110" t="str">
        <f>VLOOKUP(D146,FECHAS!$A$3:$B$14,2,0)</f>
        <v>Marzo</v>
      </c>
      <c r="F146" s="319"/>
      <c r="G146" s="108">
        <f t="shared" si="29"/>
        <v>11</v>
      </c>
      <c r="H146" s="108">
        <f t="shared" si="30"/>
        <v>0</v>
      </c>
      <c r="I146" s="111">
        <f t="shared" si="37"/>
        <v>20</v>
      </c>
      <c r="J146" s="111">
        <v>5</v>
      </c>
      <c r="K146" s="111">
        <f t="shared" si="40"/>
        <v>0</v>
      </c>
      <c r="L146" s="111">
        <f t="shared" si="41"/>
        <v>0</v>
      </c>
      <c r="M146" s="143" t="str">
        <f t="shared" si="31"/>
        <v>LOTTT</v>
      </c>
      <c r="N146" s="108">
        <f t="shared" si="32"/>
        <v>20</v>
      </c>
      <c r="O146" s="321">
        <f t="shared" si="33"/>
        <v>0</v>
      </c>
      <c r="P146" s="322"/>
      <c r="Q146" s="321">
        <f t="shared" si="38"/>
        <v>0</v>
      </c>
      <c r="R146" s="173">
        <f>IF(ISNUMBER(VLOOKUP(E146,InteresPres!$B$2:$W$14,Prestaciones!C146-1997+2,0)),VLOOKUP(E146,InteresPres!$B$2:$W$14,Prestaciones!C146-1997+2,0),"0")/100</f>
        <v>0</v>
      </c>
      <c r="S146" s="323">
        <f t="shared" si="34"/>
        <v>0</v>
      </c>
      <c r="T146" s="323">
        <f t="shared" si="39"/>
        <v>0</v>
      </c>
      <c r="U146" s="5"/>
    </row>
    <row r="147" spans="2:21" x14ac:dyDescent="0.25">
      <c r="B147" s="4"/>
      <c r="C147" s="108">
        <f t="shared" si="35"/>
        <v>2022</v>
      </c>
      <c r="D147" s="109">
        <f t="shared" si="36"/>
        <v>4</v>
      </c>
      <c r="E147" s="110" t="str">
        <f>VLOOKUP(D147,FECHAS!$A$3:$B$14,2,0)</f>
        <v>Abril</v>
      </c>
      <c r="F147" s="319"/>
      <c r="G147" s="108">
        <f>IF(H146=11,G146+1,G146)</f>
        <v>11</v>
      </c>
      <c r="H147" s="108">
        <f>IF(H146=11,0,H146+1)</f>
        <v>1</v>
      </c>
      <c r="I147" s="111">
        <f t="shared" si="37"/>
        <v>0</v>
      </c>
      <c r="J147" s="111">
        <v>5</v>
      </c>
      <c r="K147" s="111">
        <f t="shared" si="40"/>
        <v>15</v>
      </c>
      <c r="L147" s="111">
        <f t="shared" si="41"/>
        <v>0</v>
      </c>
      <c r="M147" s="143" t="str">
        <f t="shared" si="31"/>
        <v>LOTTT</v>
      </c>
      <c r="N147" s="108">
        <f t="shared" si="32"/>
        <v>15</v>
      </c>
      <c r="O147" s="321">
        <f t="shared" si="33"/>
        <v>0</v>
      </c>
      <c r="P147" s="322"/>
      <c r="Q147" s="321">
        <f t="shared" si="38"/>
        <v>0</v>
      </c>
      <c r="R147" s="173">
        <f>IF(ISNUMBER(VLOOKUP(E147,InteresPres!$B$2:$W$14,Prestaciones!C147-1997+2,0)),VLOOKUP(E147,InteresPres!$B$2:$W$14,Prestaciones!C147-1997+2,0),"0")/100</f>
        <v>0</v>
      </c>
      <c r="S147" s="323">
        <f t="shared" si="34"/>
        <v>0</v>
      </c>
      <c r="T147" s="323">
        <f t="shared" si="39"/>
        <v>0</v>
      </c>
      <c r="U147" s="5"/>
    </row>
    <row r="148" spans="2:21" x14ac:dyDescent="0.25">
      <c r="B148" s="4"/>
      <c r="C148" s="108">
        <f t="shared" si="35"/>
        <v>2022</v>
      </c>
      <c r="D148" s="109">
        <f t="shared" si="36"/>
        <v>5</v>
      </c>
      <c r="E148" s="110" t="str">
        <f>VLOOKUP(D148,FECHAS!$A$3:$B$14,2,0)</f>
        <v>Mayo</v>
      </c>
      <c r="F148" s="319"/>
      <c r="G148" s="108">
        <f t="shared" ref="G148:G163" si="42">IF(H147=11,G147+1,G147)</f>
        <v>11</v>
      </c>
      <c r="H148" s="108">
        <f t="shared" ref="H148:H163" si="43">IF(H147=11,0,H147+1)</f>
        <v>2</v>
      </c>
      <c r="I148" s="111">
        <f t="shared" si="37"/>
        <v>0</v>
      </c>
      <c r="J148" s="111">
        <v>5</v>
      </c>
      <c r="K148" s="111">
        <f t="shared" si="40"/>
        <v>0</v>
      </c>
      <c r="L148" s="111">
        <f t="shared" si="41"/>
        <v>0</v>
      </c>
      <c r="M148" s="143" t="str">
        <f t="shared" si="31"/>
        <v>LOTTT</v>
      </c>
      <c r="N148" s="108">
        <f t="shared" si="32"/>
        <v>0</v>
      </c>
      <c r="O148" s="321">
        <f t="shared" si="33"/>
        <v>0</v>
      </c>
      <c r="P148" s="322"/>
      <c r="Q148" s="321">
        <f t="shared" si="38"/>
        <v>0</v>
      </c>
      <c r="R148" s="173">
        <f>IF(ISNUMBER(VLOOKUP(E148,InteresPres!$B$2:$W$14,Prestaciones!C148-1997+2,0)),VLOOKUP(E148,InteresPres!$B$2:$W$14,Prestaciones!C148-1997+2,0),"0")/100</f>
        <v>0</v>
      </c>
      <c r="S148" s="323">
        <f t="shared" si="34"/>
        <v>0</v>
      </c>
      <c r="T148" s="323">
        <f t="shared" si="39"/>
        <v>0</v>
      </c>
      <c r="U148" s="5"/>
    </row>
    <row r="149" spans="2:21" x14ac:dyDescent="0.25">
      <c r="B149" s="4"/>
      <c r="C149" s="108">
        <f t="shared" si="35"/>
        <v>2022</v>
      </c>
      <c r="D149" s="109">
        <f t="shared" si="36"/>
        <v>6</v>
      </c>
      <c r="E149" s="110" t="str">
        <f>VLOOKUP(D149,FECHAS!$A$3:$B$14,2,0)</f>
        <v>Junio</v>
      </c>
      <c r="F149" s="319"/>
      <c r="G149" s="108">
        <f t="shared" si="42"/>
        <v>11</v>
      </c>
      <c r="H149" s="108">
        <f t="shared" si="43"/>
        <v>3</v>
      </c>
      <c r="I149" s="111">
        <f t="shared" si="37"/>
        <v>0</v>
      </c>
      <c r="J149" s="111">
        <v>5</v>
      </c>
      <c r="K149" s="111">
        <f t="shared" si="40"/>
        <v>0</v>
      </c>
      <c r="L149" s="111">
        <f t="shared" si="41"/>
        <v>0</v>
      </c>
      <c r="M149" s="143" t="str">
        <f t="shared" si="31"/>
        <v>LOTTT</v>
      </c>
      <c r="N149" s="108">
        <f t="shared" si="32"/>
        <v>0</v>
      </c>
      <c r="O149" s="321">
        <f t="shared" si="33"/>
        <v>0</v>
      </c>
      <c r="P149" s="322"/>
      <c r="Q149" s="321">
        <f t="shared" si="38"/>
        <v>0</v>
      </c>
      <c r="R149" s="173">
        <f>IF(ISNUMBER(VLOOKUP(E149,InteresPres!$B$2:$W$14,Prestaciones!C149-1997+2,0)),VLOOKUP(E149,InteresPres!$B$2:$W$14,Prestaciones!C149-1997+2,0),"0")/100</f>
        <v>0</v>
      </c>
      <c r="S149" s="323">
        <f t="shared" si="34"/>
        <v>0</v>
      </c>
      <c r="T149" s="323">
        <f t="shared" si="39"/>
        <v>0</v>
      </c>
      <c r="U149" s="5"/>
    </row>
    <row r="150" spans="2:21" x14ac:dyDescent="0.25">
      <c r="B150" s="4"/>
      <c r="C150" s="108">
        <f t="shared" si="35"/>
        <v>2022</v>
      </c>
      <c r="D150" s="109">
        <f t="shared" si="36"/>
        <v>7</v>
      </c>
      <c r="E150" s="110" t="str">
        <f>VLOOKUP(D150,FECHAS!$A$3:$B$14,2,0)</f>
        <v>Julio</v>
      </c>
      <c r="F150" s="319"/>
      <c r="G150" s="108">
        <f t="shared" si="42"/>
        <v>11</v>
      </c>
      <c r="H150" s="108">
        <f t="shared" si="43"/>
        <v>4</v>
      </c>
      <c r="I150" s="111">
        <f t="shared" si="37"/>
        <v>0</v>
      </c>
      <c r="J150" s="111">
        <v>5</v>
      </c>
      <c r="K150" s="111">
        <f t="shared" si="40"/>
        <v>15</v>
      </c>
      <c r="L150" s="111">
        <f t="shared" si="41"/>
        <v>0</v>
      </c>
      <c r="M150" s="143" t="str">
        <f t="shared" si="31"/>
        <v>LOTTT</v>
      </c>
      <c r="N150" s="108">
        <f t="shared" si="32"/>
        <v>15</v>
      </c>
      <c r="O150" s="321">
        <f t="shared" si="33"/>
        <v>0</v>
      </c>
      <c r="P150" s="322"/>
      <c r="Q150" s="321">
        <f t="shared" si="38"/>
        <v>0</v>
      </c>
      <c r="R150" s="173">
        <f>IF(ISNUMBER(VLOOKUP(E150,InteresPres!$B$2:$W$14,Prestaciones!C150-1997+2,0)),VLOOKUP(E150,InteresPres!$B$2:$W$14,Prestaciones!C150-1997+2,0),"0")/100</f>
        <v>0</v>
      </c>
      <c r="S150" s="323">
        <f t="shared" si="34"/>
        <v>0</v>
      </c>
      <c r="T150" s="323">
        <f t="shared" si="39"/>
        <v>0</v>
      </c>
      <c r="U150" s="5"/>
    </row>
    <row r="151" spans="2:21" x14ac:dyDescent="0.25">
      <c r="B151" s="4"/>
      <c r="C151" s="108">
        <f t="shared" si="35"/>
        <v>2022</v>
      </c>
      <c r="D151" s="109">
        <f t="shared" si="36"/>
        <v>8</v>
      </c>
      <c r="E151" s="110" t="str">
        <f>VLOOKUP(D151,FECHAS!$A$3:$B$14,2,0)</f>
        <v>Agosto</v>
      </c>
      <c r="F151" s="319"/>
      <c r="G151" s="108">
        <f t="shared" si="42"/>
        <v>11</v>
      </c>
      <c r="H151" s="108">
        <f t="shared" si="43"/>
        <v>5</v>
      </c>
      <c r="I151" s="111">
        <f t="shared" si="37"/>
        <v>0</v>
      </c>
      <c r="J151" s="111">
        <v>5</v>
      </c>
      <c r="K151" s="111">
        <f t="shared" si="40"/>
        <v>0</v>
      </c>
      <c r="L151" s="111">
        <f t="shared" si="41"/>
        <v>0</v>
      </c>
      <c r="M151" s="143" t="str">
        <f t="shared" si="31"/>
        <v>LOTTT</v>
      </c>
      <c r="N151" s="108">
        <f t="shared" si="32"/>
        <v>0</v>
      </c>
      <c r="O151" s="321">
        <f t="shared" si="33"/>
        <v>0</v>
      </c>
      <c r="P151" s="322"/>
      <c r="Q151" s="321">
        <f t="shared" si="38"/>
        <v>0</v>
      </c>
      <c r="R151" s="173">
        <f>IF(ISNUMBER(VLOOKUP(E151,InteresPres!$B$2:$W$14,Prestaciones!C151-1997+2,0)),VLOOKUP(E151,InteresPres!$B$2:$W$14,Prestaciones!C151-1997+2,0),"0")/100</f>
        <v>0</v>
      </c>
      <c r="S151" s="323">
        <f t="shared" si="34"/>
        <v>0</v>
      </c>
      <c r="T151" s="323">
        <f t="shared" si="39"/>
        <v>0</v>
      </c>
      <c r="U151" s="5"/>
    </row>
    <row r="152" spans="2:21" x14ac:dyDescent="0.25">
      <c r="B152" s="4"/>
      <c r="C152" s="108">
        <f t="shared" si="35"/>
        <v>2022</v>
      </c>
      <c r="D152" s="109">
        <f t="shared" si="36"/>
        <v>9</v>
      </c>
      <c r="E152" s="110" t="str">
        <f>VLOOKUP(D152,FECHAS!$A$3:$B$14,2,0)</f>
        <v>Septiembre</v>
      </c>
      <c r="F152" s="319"/>
      <c r="G152" s="108">
        <f t="shared" si="42"/>
        <v>11</v>
      </c>
      <c r="H152" s="108">
        <f t="shared" si="43"/>
        <v>6</v>
      </c>
      <c r="I152" s="111">
        <f t="shared" si="37"/>
        <v>0</v>
      </c>
      <c r="J152" s="111">
        <v>5</v>
      </c>
      <c r="K152" s="111">
        <f t="shared" si="40"/>
        <v>0</v>
      </c>
      <c r="L152" s="111">
        <f t="shared" si="41"/>
        <v>0</v>
      </c>
      <c r="M152" s="143" t="str">
        <f t="shared" si="31"/>
        <v>LOTTT</v>
      </c>
      <c r="N152" s="108">
        <f t="shared" si="32"/>
        <v>0</v>
      </c>
      <c r="O152" s="321">
        <f t="shared" si="33"/>
        <v>0</v>
      </c>
      <c r="P152" s="322"/>
      <c r="Q152" s="321">
        <f t="shared" si="38"/>
        <v>0</v>
      </c>
      <c r="R152" s="173">
        <f>IF(ISNUMBER(VLOOKUP(E152,InteresPres!$B$2:$W$14,Prestaciones!C152-1997+2,0)),VLOOKUP(E152,InteresPres!$B$2:$W$14,Prestaciones!C152-1997+2,0),"0")/100</f>
        <v>0</v>
      </c>
      <c r="S152" s="323">
        <f t="shared" si="34"/>
        <v>0</v>
      </c>
      <c r="T152" s="323">
        <f t="shared" si="39"/>
        <v>0</v>
      </c>
      <c r="U152" s="5"/>
    </row>
    <row r="153" spans="2:21" x14ac:dyDescent="0.25">
      <c r="B153" s="4"/>
      <c r="C153" s="108">
        <f t="shared" si="35"/>
        <v>2022</v>
      </c>
      <c r="D153" s="109">
        <f t="shared" si="36"/>
        <v>10</v>
      </c>
      <c r="E153" s="110" t="str">
        <f>VLOOKUP(D153,FECHAS!$A$3:$B$14,2,0)</f>
        <v>Octubre</v>
      </c>
      <c r="F153" s="319"/>
      <c r="G153" s="108">
        <f t="shared" si="42"/>
        <v>11</v>
      </c>
      <c r="H153" s="108">
        <f t="shared" si="43"/>
        <v>7</v>
      </c>
      <c r="I153" s="111">
        <f t="shared" si="37"/>
        <v>0</v>
      </c>
      <c r="J153" s="111">
        <v>5</v>
      </c>
      <c r="K153" s="111">
        <f t="shared" si="40"/>
        <v>15</v>
      </c>
      <c r="L153" s="111">
        <f t="shared" si="41"/>
        <v>0</v>
      </c>
      <c r="M153" s="143" t="str">
        <f t="shared" si="31"/>
        <v>LOTTT</v>
      </c>
      <c r="N153" s="108">
        <f t="shared" si="32"/>
        <v>15</v>
      </c>
      <c r="O153" s="321">
        <f t="shared" si="33"/>
        <v>0</v>
      </c>
      <c r="P153" s="322"/>
      <c r="Q153" s="321">
        <f t="shared" si="38"/>
        <v>0</v>
      </c>
      <c r="R153" s="173">
        <f>IF(ISNUMBER(VLOOKUP(E153,InteresPres!$B$2:$W$14,Prestaciones!C153-1997+2,0)),VLOOKUP(E153,InteresPres!$B$2:$W$14,Prestaciones!C153-1997+2,0),"0")/100</f>
        <v>0</v>
      </c>
      <c r="S153" s="323">
        <f t="shared" si="34"/>
        <v>0</v>
      </c>
      <c r="T153" s="323">
        <f t="shared" si="39"/>
        <v>0</v>
      </c>
      <c r="U153" s="5"/>
    </row>
    <row r="154" spans="2:21" x14ac:dyDescent="0.25">
      <c r="B154" s="4"/>
      <c r="C154" s="108">
        <f t="shared" si="35"/>
        <v>2022</v>
      </c>
      <c r="D154" s="109">
        <f t="shared" si="36"/>
        <v>11</v>
      </c>
      <c r="E154" s="110" t="str">
        <f>VLOOKUP(D154,FECHAS!$A$3:$B$14,2,0)</f>
        <v>Noviembre</v>
      </c>
      <c r="F154" s="319"/>
      <c r="G154" s="108">
        <f t="shared" si="42"/>
        <v>11</v>
      </c>
      <c r="H154" s="108">
        <f t="shared" si="43"/>
        <v>8</v>
      </c>
      <c r="I154" s="111">
        <f t="shared" si="37"/>
        <v>0</v>
      </c>
      <c r="J154" s="111">
        <v>5</v>
      </c>
      <c r="K154" s="111">
        <f t="shared" si="40"/>
        <v>0</v>
      </c>
      <c r="L154" s="111">
        <f t="shared" si="41"/>
        <v>0</v>
      </c>
      <c r="M154" s="143" t="str">
        <f t="shared" si="31"/>
        <v>LOTTT</v>
      </c>
      <c r="N154" s="108">
        <f t="shared" si="32"/>
        <v>0</v>
      </c>
      <c r="O154" s="321">
        <f t="shared" si="33"/>
        <v>0</v>
      </c>
      <c r="P154" s="322"/>
      <c r="Q154" s="321">
        <f t="shared" si="38"/>
        <v>0</v>
      </c>
      <c r="R154" s="173">
        <f>IF(ISNUMBER(VLOOKUP(E154,InteresPres!$B$2:$W$14,Prestaciones!C154-1997+2,0)),VLOOKUP(E154,InteresPres!$B$2:$W$14,Prestaciones!C154-1997+2,0),"0")/100</f>
        <v>0</v>
      </c>
      <c r="S154" s="323">
        <f t="shared" si="34"/>
        <v>0</v>
      </c>
      <c r="T154" s="323">
        <f t="shared" si="39"/>
        <v>0</v>
      </c>
      <c r="U154" s="5"/>
    </row>
    <row r="155" spans="2:21" x14ac:dyDescent="0.25">
      <c r="B155" s="4"/>
      <c r="C155" s="108">
        <f t="shared" si="35"/>
        <v>2022</v>
      </c>
      <c r="D155" s="109">
        <f t="shared" si="36"/>
        <v>12</v>
      </c>
      <c r="E155" s="110" t="str">
        <f>VLOOKUP(D155,FECHAS!$A$3:$B$14,2,0)</f>
        <v>Diciembre</v>
      </c>
      <c r="F155" s="319"/>
      <c r="G155" s="108">
        <f t="shared" si="42"/>
        <v>11</v>
      </c>
      <c r="H155" s="108">
        <f t="shared" si="43"/>
        <v>9</v>
      </c>
      <c r="I155" s="111">
        <f t="shared" si="37"/>
        <v>0</v>
      </c>
      <c r="J155" s="111">
        <v>5</v>
      </c>
      <c r="K155" s="111">
        <f t="shared" si="40"/>
        <v>0</v>
      </c>
      <c r="L155" s="111">
        <f t="shared" si="41"/>
        <v>0</v>
      </c>
      <c r="M155" s="143" t="str">
        <f t="shared" si="31"/>
        <v>LOTTT</v>
      </c>
      <c r="N155" s="108">
        <f t="shared" si="32"/>
        <v>0</v>
      </c>
      <c r="O155" s="321">
        <f t="shared" si="33"/>
        <v>0</v>
      </c>
      <c r="P155" s="322"/>
      <c r="Q155" s="321">
        <f t="shared" si="38"/>
        <v>0</v>
      </c>
      <c r="R155" s="173">
        <f>IF(ISNUMBER(VLOOKUP(E155,InteresPres!$B$2:$W$14,Prestaciones!C155-1997+2,0)),VLOOKUP(E155,InteresPres!$B$2:$W$14,Prestaciones!C155-1997+2,0),"0")/100</f>
        <v>0</v>
      </c>
      <c r="S155" s="323">
        <f t="shared" si="34"/>
        <v>0</v>
      </c>
      <c r="T155" s="323">
        <f t="shared" si="39"/>
        <v>0</v>
      </c>
      <c r="U155" s="5"/>
    </row>
    <row r="156" spans="2:21" x14ac:dyDescent="0.25">
      <c r="B156" s="4"/>
      <c r="C156" s="108">
        <f t="shared" si="35"/>
        <v>2023</v>
      </c>
      <c r="D156" s="109">
        <f t="shared" si="36"/>
        <v>1</v>
      </c>
      <c r="E156" s="110" t="str">
        <f>VLOOKUP(D156,FECHAS!$A$3:$B$14,2,0)</f>
        <v>Enero</v>
      </c>
      <c r="F156" s="319"/>
      <c r="G156" s="108">
        <f t="shared" si="42"/>
        <v>11</v>
      </c>
      <c r="H156" s="108">
        <f t="shared" si="43"/>
        <v>10</v>
      </c>
      <c r="I156" s="111">
        <f t="shared" si="37"/>
        <v>0</v>
      </c>
      <c r="J156" s="111">
        <v>5</v>
      </c>
      <c r="K156" s="111">
        <f t="shared" si="40"/>
        <v>15</v>
      </c>
      <c r="L156" s="111">
        <f t="shared" si="41"/>
        <v>0</v>
      </c>
      <c r="M156" s="143" t="str">
        <f t="shared" si="31"/>
        <v>LOTTT</v>
      </c>
      <c r="N156" s="108">
        <f t="shared" si="32"/>
        <v>15</v>
      </c>
      <c r="O156" s="321">
        <f t="shared" si="33"/>
        <v>0</v>
      </c>
      <c r="P156" s="322"/>
      <c r="Q156" s="321">
        <f t="shared" si="38"/>
        <v>0</v>
      </c>
      <c r="R156" s="173">
        <f>IF(ISNUMBER(VLOOKUP(E156,InteresPres!$B$2:$W$14,Prestaciones!C156-1997+2,0)),VLOOKUP(E156,InteresPres!$B$2:$W$14,Prestaciones!C156-1997+2,0),"0")/100</f>
        <v>0</v>
      </c>
      <c r="S156" s="323">
        <f t="shared" si="34"/>
        <v>0</v>
      </c>
      <c r="T156" s="323">
        <f t="shared" si="39"/>
        <v>0</v>
      </c>
      <c r="U156" s="5"/>
    </row>
    <row r="157" spans="2:21" x14ac:dyDescent="0.25">
      <c r="B157" s="4"/>
      <c r="C157" s="108">
        <f t="shared" si="35"/>
        <v>2023</v>
      </c>
      <c r="D157" s="109">
        <f t="shared" si="36"/>
        <v>2</v>
      </c>
      <c r="E157" s="110" t="str">
        <f>VLOOKUP(D157,FECHAS!$A$3:$B$14,2,0)</f>
        <v>Febrero</v>
      </c>
      <c r="F157" s="319"/>
      <c r="G157" s="108">
        <f t="shared" si="42"/>
        <v>11</v>
      </c>
      <c r="H157" s="108">
        <f t="shared" si="43"/>
        <v>11</v>
      </c>
      <c r="I157" s="111">
        <f t="shared" si="37"/>
        <v>0</v>
      </c>
      <c r="J157" s="111">
        <v>5</v>
      </c>
      <c r="K157" s="111">
        <f t="shared" si="40"/>
        <v>0</v>
      </c>
      <c r="L157" s="111">
        <f t="shared" si="41"/>
        <v>0</v>
      </c>
      <c r="M157" s="143" t="str">
        <f t="shared" si="31"/>
        <v>LOTTT</v>
      </c>
      <c r="N157" s="108">
        <f t="shared" si="32"/>
        <v>0</v>
      </c>
      <c r="O157" s="321">
        <f t="shared" si="33"/>
        <v>0</v>
      </c>
      <c r="P157" s="322"/>
      <c r="Q157" s="321">
        <f t="shared" si="38"/>
        <v>0</v>
      </c>
      <c r="R157" s="173">
        <f>IF(ISNUMBER(VLOOKUP(E157,InteresPres!$B$2:$W$14,Prestaciones!C157-1997+2,0)),VLOOKUP(E157,InteresPres!$B$2:$W$14,Prestaciones!C157-1997+2,0),"0")/100</f>
        <v>0</v>
      </c>
      <c r="S157" s="323">
        <f t="shared" si="34"/>
        <v>0</v>
      </c>
      <c r="T157" s="323">
        <f t="shared" si="39"/>
        <v>0</v>
      </c>
      <c r="U157" s="5"/>
    </row>
    <row r="158" spans="2:21" x14ac:dyDescent="0.25">
      <c r="B158" s="4"/>
      <c r="C158" s="108">
        <f t="shared" si="35"/>
        <v>2023</v>
      </c>
      <c r="D158" s="109">
        <f t="shared" si="36"/>
        <v>3</v>
      </c>
      <c r="E158" s="110" t="str">
        <f>VLOOKUP(D158,FECHAS!$A$3:$B$14,2,0)</f>
        <v>Marzo</v>
      </c>
      <c r="F158" s="319"/>
      <c r="G158" s="108">
        <f t="shared" si="42"/>
        <v>12</v>
      </c>
      <c r="H158" s="108">
        <f t="shared" si="43"/>
        <v>0</v>
      </c>
      <c r="I158" s="111">
        <f t="shared" si="37"/>
        <v>22</v>
      </c>
      <c r="J158" s="111">
        <v>5</v>
      </c>
      <c r="K158" s="111">
        <f t="shared" si="40"/>
        <v>0</v>
      </c>
      <c r="L158" s="111">
        <f t="shared" si="41"/>
        <v>0</v>
      </c>
      <c r="M158" s="143" t="str">
        <f t="shared" si="31"/>
        <v>LOTTT</v>
      </c>
      <c r="N158" s="108">
        <f t="shared" si="32"/>
        <v>22</v>
      </c>
      <c r="O158" s="321">
        <f t="shared" si="33"/>
        <v>0</v>
      </c>
      <c r="P158" s="322"/>
      <c r="Q158" s="321">
        <f t="shared" si="38"/>
        <v>0</v>
      </c>
      <c r="R158" s="173">
        <f>IF(ISNUMBER(VLOOKUP(E158,InteresPres!$B$2:$W$14,Prestaciones!C158-1997+2,0)),VLOOKUP(E158,InteresPres!$B$2:$W$14,Prestaciones!C158-1997+2,0),"0")/100</f>
        <v>0</v>
      </c>
      <c r="S158" s="323">
        <f t="shared" si="34"/>
        <v>0</v>
      </c>
      <c r="T158" s="323">
        <f t="shared" si="39"/>
        <v>0</v>
      </c>
      <c r="U158" s="5"/>
    </row>
    <row r="159" spans="2:21" x14ac:dyDescent="0.25">
      <c r="B159" s="4"/>
      <c r="C159" s="108">
        <f t="shared" si="35"/>
        <v>2023</v>
      </c>
      <c r="D159" s="109">
        <f t="shared" si="36"/>
        <v>4</v>
      </c>
      <c r="E159" s="110" t="str">
        <f>VLOOKUP(D159,FECHAS!$A$3:$B$14,2,0)</f>
        <v>Abril</v>
      </c>
      <c r="F159" s="319"/>
      <c r="G159" s="108">
        <f t="shared" si="42"/>
        <v>12</v>
      </c>
      <c r="H159" s="108">
        <f t="shared" si="43"/>
        <v>1</v>
      </c>
      <c r="I159" s="111">
        <f t="shared" si="37"/>
        <v>0</v>
      </c>
      <c r="J159" s="111">
        <v>5</v>
      </c>
      <c r="K159" s="111">
        <f t="shared" si="40"/>
        <v>15</v>
      </c>
      <c r="L159" s="111">
        <f t="shared" si="41"/>
        <v>0</v>
      </c>
      <c r="M159" s="143" t="str">
        <f t="shared" si="31"/>
        <v>LOTTT</v>
      </c>
      <c r="N159" s="108">
        <f t="shared" si="32"/>
        <v>15</v>
      </c>
      <c r="O159" s="321">
        <f t="shared" si="33"/>
        <v>0</v>
      </c>
      <c r="P159" s="322"/>
      <c r="Q159" s="321">
        <f t="shared" si="38"/>
        <v>0</v>
      </c>
      <c r="R159" s="173">
        <f>IF(ISNUMBER(VLOOKUP(E159,InteresPres!$B$2:$W$14,Prestaciones!C159-1997+2,0)),VLOOKUP(E159,InteresPres!$B$2:$W$14,Prestaciones!C159-1997+2,0),"0")/100</f>
        <v>0</v>
      </c>
      <c r="S159" s="323">
        <f t="shared" si="34"/>
        <v>0</v>
      </c>
      <c r="T159" s="323">
        <f t="shared" si="39"/>
        <v>0</v>
      </c>
      <c r="U159" s="5"/>
    </row>
    <row r="160" spans="2:21" x14ac:dyDescent="0.25">
      <c r="B160" s="4"/>
      <c r="C160" s="108">
        <f t="shared" si="35"/>
        <v>2023</v>
      </c>
      <c r="D160" s="109">
        <f t="shared" si="36"/>
        <v>5</v>
      </c>
      <c r="E160" s="110" t="str">
        <f>VLOOKUP(D160,FECHAS!$A$3:$B$14,2,0)</f>
        <v>Mayo</v>
      </c>
      <c r="F160" s="319"/>
      <c r="G160" s="108">
        <f t="shared" si="42"/>
        <v>12</v>
      </c>
      <c r="H160" s="108">
        <f t="shared" si="43"/>
        <v>2</v>
      </c>
      <c r="I160" s="111">
        <f t="shared" si="37"/>
        <v>0</v>
      </c>
      <c r="J160" s="111">
        <v>5</v>
      </c>
      <c r="K160" s="111">
        <f t="shared" si="40"/>
        <v>0</v>
      </c>
      <c r="L160" s="111">
        <f t="shared" si="41"/>
        <v>0</v>
      </c>
      <c r="M160" s="143" t="str">
        <f t="shared" si="31"/>
        <v>LOTTT</v>
      </c>
      <c r="N160" s="108">
        <f t="shared" si="32"/>
        <v>0</v>
      </c>
      <c r="O160" s="321">
        <f t="shared" si="33"/>
        <v>0</v>
      </c>
      <c r="P160" s="322"/>
      <c r="Q160" s="321">
        <f t="shared" si="38"/>
        <v>0</v>
      </c>
      <c r="R160" s="173">
        <f>IF(ISNUMBER(VLOOKUP(E160,InteresPres!$B$2:$W$14,Prestaciones!C160-1997+2,0)),VLOOKUP(E160,InteresPres!$B$2:$W$14,Prestaciones!C160-1997+2,0),"0")/100</f>
        <v>0</v>
      </c>
      <c r="S160" s="323">
        <f t="shared" si="34"/>
        <v>0</v>
      </c>
      <c r="T160" s="323">
        <f t="shared" si="39"/>
        <v>0</v>
      </c>
      <c r="U160" s="5"/>
    </row>
    <row r="161" spans="2:21" x14ac:dyDescent="0.25">
      <c r="B161" s="4"/>
      <c r="C161" s="108">
        <f t="shared" si="35"/>
        <v>2023</v>
      </c>
      <c r="D161" s="109">
        <f t="shared" si="36"/>
        <v>6</v>
      </c>
      <c r="E161" s="110" t="str">
        <f>VLOOKUP(D161,FECHAS!$A$3:$B$14,2,0)</f>
        <v>Junio</v>
      </c>
      <c r="F161" s="319"/>
      <c r="G161" s="108">
        <f t="shared" si="42"/>
        <v>12</v>
      </c>
      <c r="H161" s="108">
        <f t="shared" si="43"/>
        <v>3</v>
      </c>
      <c r="I161" s="111">
        <f t="shared" si="37"/>
        <v>0</v>
      </c>
      <c r="J161" s="111">
        <v>5</v>
      </c>
      <c r="K161" s="111">
        <f t="shared" si="40"/>
        <v>0</v>
      </c>
      <c r="L161" s="111">
        <f t="shared" si="41"/>
        <v>0</v>
      </c>
      <c r="M161" s="143" t="str">
        <f t="shared" si="31"/>
        <v>LOTTT</v>
      </c>
      <c r="N161" s="108">
        <f t="shared" si="32"/>
        <v>0</v>
      </c>
      <c r="O161" s="321">
        <f t="shared" si="33"/>
        <v>0</v>
      </c>
      <c r="P161" s="322"/>
      <c r="Q161" s="321">
        <f t="shared" si="38"/>
        <v>0</v>
      </c>
      <c r="R161" s="173">
        <f>IF(ISNUMBER(VLOOKUP(E161,InteresPres!$B$2:$W$14,Prestaciones!C161-1997+2,0)),VLOOKUP(E161,InteresPres!$B$2:$W$14,Prestaciones!C161-1997+2,0),"0")/100</f>
        <v>0</v>
      </c>
      <c r="S161" s="323">
        <f t="shared" si="34"/>
        <v>0</v>
      </c>
      <c r="T161" s="323">
        <f t="shared" si="39"/>
        <v>0</v>
      </c>
      <c r="U161" s="5"/>
    </row>
    <row r="162" spans="2:21" x14ac:dyDescent="0.25">
      <c r="B162" s="4"/>
      <c r="C162" s="108">
        <f t="shared" si="35"/>
        <v>2023</v>
      </c>
      <c r="D162" s="109">
        <f t="shared" si="36"/>
        <v>7</v>
      </c>
      <c r="E162" s="110" t="str">
        <f>VLOOKUP(D162,FECHAS!$A$3:$B$14,2,0)</f>
        <v>Julio</v>
      </c>
      <c r="F162" s="319"/>
      <c r="G162" s="108">
        <f t="shared" si="42"/>
        <v>12</v>
      </c>
      <c r="H162" s="108">
        <f t="shared" si="43"/>
        <v>4</v>
      </c>
      <c r="I162" s="111">
        <f t="shared" si="37"/>
        <v>0</v>
      </c>
      <c r="J162" s="111">
        <v>5</v>
      </c>
      <c r="K162" s="111">
        <f t="shared" si="40"/>
        <v>15</v>
      </c>
      <c r="L162" s="111">
        <f t="shared" si="41"/>
        <v>0</v>
      </c>
      <c r="M162" s="143" t="str">
        <f t="shared" si="31"/>
        <v>LOTTT</v>
      </c>
      <c r="N162" s="108">
        <f t="shared" si="32"/>
        <v>15</v>
      </c>
      <c r="O162" s="321">
        <f t="shared" si="33"/>
        <v>0</v>
      </c>
      <c r="P162" s="322"/>
      <c r="Q162" s="321">
        <f t="shared" si="38"/>
        <v>0</v>
      </c>
      <c r="R162" s="173">
        <f>IF(ISNUMBER(VLOOKUP(E162,InteresPres!$B$2:$W$14,Prestaciones!C162-1997+2,0)),VLOOKUP(E162,InteresPres!$B$2:$W$14,Prestaciones!C162-1997+2,0),"0")/100</f>
        <v>0</v>
      </c>
      <c r="S162" s="323">
        <f t="shared" si="34"/>
        <v>0</v>
      </c>
      <c r="T162" s="323">
        <f t="shared" si="39"/>
        <v>0</v>
      </c>
      <c r="U162" s="5"/>
    </row>
    <row r="163" spans="2:21" x14ac:dyDescent="0.25">
      <c r="B163" s="4"/>
      <c r="C163" s="108">
        <f t="shared" si="35"/>
        <v>2023</v>
      </c>
      <c r="D163" s="109">
        <f t="shared" si="36"/>
        <v>8</v>
      </c>
      <c r="E163" s="110" t="str">
        <f>VLOOKUP(D163,FECHAS!$A$3:$B$14,2,0)</f>
        <v>Agosto</v>
      </c>
      <c r="F163" s="319"/>
      <c r="G163" s="108">
        <f t="shared" si="42"/>
        <v>12</v>
      </c>
      <c r="H163" s="108">
        <f t="shared" si="43"/>
        <v>5</v>
      </c>
      <c r="I163" s="111">
        <f t="shared" si="37"/>
        <v>0</v>
      </c>
      <c r="J163" s="111">
        <v>5</v>
      </c>
      <c r="K163" s="111">
        <f t="shared" si="40"/>
        <v>0</v>
      </c>
      <c r="L163" s="111">
        <f t="shared" si="41"/>
        <v>0</v>
      </c>
      <c r="M163" s="143" t="str">
        <f t="shared" si="31"/>
        <v>LOTTT</v>
      </c>
      <c r="N163" s="108">
        <f t="shared" si="32"/>
        <v>0</v>
      </c>
      <c r="O163" s="321">
        <f t="shared" si="33"/>
        <v>0</v>
      </c>
      <c r="P163" s="322"/>
      <c r="Q163" s="321">
        <f t="shared" si="38"/>
        <v>0</v>
      </c>
      <c r="R163" s="173">
        <f>IF(ISNUMBER(VLOOKUP(E163,InteresPres!$B$2:$W$14,Prestaciones!C163-1997+2,0)),VLOOKUP(E163,InteresPres!$B$2:$W$14,Prestaciones!C163-1997+2,0),"0")/100</f>
        <v>0</v>
      </c>
      <c r="S163" s="323">
        <f t="shared" si="34"/>
        <v>0</v>
      </c>
      <c r="T163" s="323">
        <f t="shared" si="39"/>
        <v>0</v>
      </c>
      <c r="U163" s="5"/>
    </row>
    <row r="164" spans="2:21" x14ac:dyDescent="0.25">
      <c r="B164" s="4"/>
      <c r="C164" s="108">
        <f t="shared" si="35"/>
        <v>2023</v>
      </c>
      <c r="D164" s="109">
        <f t="shared" si="36"/>
        <v>9</v>
      </c>
      <c r="E164" s="110" t="str">
        <f>VLOOKUP(D164,FECHAS!$A$3:$B$14,2,0)</f>
        <v>Septiembre</v>
      </c>
      <c r="F164" s="319"/>
      <c r="G164" s="108">
        <f>IF(H163=11,G163+1,G163)</f>
        <v>12</v>
      </c>
      <c r="H164" s="108">
        <f>IF(H163=11,0,H163+1)</f>
        <v>6</v>
      </c>
      <c r="I164" s="111">
        <f t="shared" si="37"/>
        <v>0</v>
      </c>
      <c r="J164" s="111">
        <v>5</v>
      </c>
      <c r="K164" s="111">
        <f t="shared" si="40"/>
        <v>0</v>
      </c>
      <c r="L164" s="111">
        <f t="shared" si="41"/>
        <v>0</v>
      </c>
      <c r="M164" s="143" t="str">
        <f t="shared" si="31"/>
        <v>LOTTT</v>
      </c>
      <c r="N164" s="108">
        <f t="shared" si="32"/>
        <v>0</v>
      </c>
      <c r="O164" s="321">
        <f t="shared" si="33"/>
        <v>0</v>
      </c>
      <c r="P164" s="322"/>
      <c r="Q164" s="321">
        <f t="shared" si="38"/>
        <v>0</v>
      </c>
      <c r="R164" s="173">
        <f>IF(ISNUMBER(VLOOKUP(E164,InteresPres!$B$2:$W$14,Prestaciones!C164-1997+2,0)),VLOOKUP(E164,InteresPres!$B$2:$W$14,Prestaciones!C164-1997+2,0),"0")/100</f>
        <v>0</v>
      </c>
      <c r="S164" s="323">
        <f t="shared" si="34"/>
        <v>0</v>
      </c>
      <c r="T164" s="323">
        <f t="shared" si="39"/>
        <v>0</v>
      </c>
      <c r="U164" s="5"/>
    </row>
    <row r="165" spans="2:21" x14ac:dyDescent="0.25">
      <c r="B165" s="4"/>
      <c r="C165" s="108">
        <f t="shared" si="35"/>
        <v>2023</v>
      </c>
      <c r="D165" s="109">
        <f t="shared" si="36"/>
        <v>10</v>
      </c>
      <c r="E165" s="110" t="str">
        <f>VLOOKUP(D165,FECHAS!$A$3:$B$14,2,0)</f>
        <v>Octubre</v>
      </c>
      <c r="F165" s="319"/>
      <c r="G165" s="108">
        <f t="shared" ref="G165:G187" si="44">IF(H164=11,G164+1,G164)</f>
        <v>12</v>
      </c>
      <c r="H165" s="108">
        <f t="shared" ref="H165:H187" si="45">IF(H164=11,0,H164+1)</f>
        <v>7</v>
      </c>
      <c r="I165" s="111">
        <f t="shared" si="37"/>
        <v>0</v>
      </c>
      <c r="J165" s="111">
        <v>5</v>
      </c>
      <c r="K165" s="111">
        <f t="shared" si="40"/>
        <v>15</v>
      </c>
      <c r="L165" s="111">
        <f t="shared" si="41"/>
        <v>0</v>
      </c>
      <c r="M165" s="143" t="str">
        <f t="shared" si="31"/>
        <v>LOTTT</v>
      </c>
      <c r="N165" s="108">
        <f t="shared" si="32"/>
        <v>15</v>
      </c>
      <c r="O165" s="321">
        <f t="shared" si="33"/>
        <v>0</v>
      </c>
      <c r="P165" s="322"/>
      <c r="Q165" s="321">
        <f t="shared" si="38"/>
        <v>0</v>
      </c>
      <c r="R165" s="173">
        <f>IF(ISNUMBER(VLOOKUP(E165,InteresPres!$B$2:$W$14,Prestaciones!C165-1997+2,0)),VLOOKUP(E165,InteresPres!$B$2:$W$14,Prestaciones!C165-1997+2,0),"0")/100</f>
        <v>0</v>
      </c>
      <c r="S165" s="323">
        <f t="shared" si="34"/>
        <v>0</v>
      </c>
      <c r="T165" s="323">
        <f t="shared" si="39"/>
        <v>0</v>
      </c>
      <c r="U165" s="5"/>
    </row>
    <row r="166" spans="2:21" x14ac:dyDescent="0.25">
      <c r="B166" s="4"/>
      <c r="C166" s="108">
        <f t="shared" si="35"/>
        <v>2023</v>
      </c>
      <c r="D166" s="109">
        <f t="shared" si="36"/>
        <v>11</v>
      </c>
      <c r="E166" s="110" t="str">
        <f>VLOOKUP(D166,FECHAS!$A$3:$B$14,2,0)</f>
        <v>Noviembre</v>
      </c>
      <c r="F166" s="319"/>
      <c r="G166" s="108">
        <f t="shared" si="44"/>
        <v>12</v>
      </c>
      <c r="H166" s="108">
        <f t="shared" si="45"/>
        <v>8</v>
      </c>
      <c r="I166" s="111">
        <f t="shared" si="37"/>
        <v>0</v>
      </c>
      <c r="J166" s="111">
        <v>5</v>
      </c>
      <c r="K166" s="111">
        <f t="shared" si="40"/>
        <v>0</v>
      </c>
      <c r="L166" s="111">
        <f t="shared" si="41"/>
        <v>0</v>
      </c>
      <c r="M166" s="143" t="str">
        <f t="shared" si="31"/>
        <v>LOTTT</v>
      </c>
      <c r="N166" s="108">
        <f t="shared" si="32"/>
        <v>0</v>
      </c>
      <c r="O166" s="321">
        <f t="shared" si="33"/>
        <v>0</v>
      </c>
      <c r="P166" s="322"/>
      <c r="Q166" s="321">
        <f t="shared" si="38"/>
        <v>0</v>
      </c>
      <c r="R166" s="173">
        <f>IF(ISNUMBER(VLOOKUP(E166,InteresPres!$B$2:$W$14,Prestaciones!C166-1997+2,0)),VLOOKUP(E166,InteresPres!$B$2:$W$14,Prestaciones!C166-1997+2,0),"0")/100</f>
        <v>0</v>
      </c>
      <c r="S166" s="323">
        <f t="shared" si="34"/>
        <v>0</v>
      </c>
      <c r="T166" s="323">
        <f t="shared" si="39"/>
        <v>0</v>
      </c>
      <c r="U166" s="5"/>
    </row>
    <row r="167" spans="2:21" x14ac:dyDescent="0.25">
      <c r="B167" s="4"/>
      <c r="C167" s="108">
        <f t="shared" si="35"/>
        <v>2023</v>
      </c>
      <c r="D167" s="109">
        <f t="shared" si="36"/>
        <v>12</v>
      </c>
      <c r="E167" s="110" t="str">
        <f>VLOOKUP(D167,FECHAS!$A$3:$B$14,2,0)</f>
        <v>Diciembre</v>
      </c>
      <c r="F167" s="319"/>
      <c r="G167" s="108">
        <f t="shared" si="44"/>
        <v>12</v>
      </c>
      <c r="H167" s="108">
        <f t="shared" si="45"/>
        <v>9</v>
      </c>
      <c r="I167" s="111">
        <f t="shared" si="37"/>
        <v>0</v>
      </c>
      <c r="J167" s="111">
        <v>5</v>
      </c>
      <c r="K167" s="111">
        <f t="shared" si="40"/>
        <v>0</v>
      </c>
      <c r="L167" s="111">
        <f t="shared" si="41"/>
        <v>0</v>
      </c>
      <c r="M167" s="143" t="str">
        <f t="shared" si="31"/>
        <v>LOTTT</v>
      </c>
      <c r="N167" s="108">
        <f t="shared" si="32"/>
        <v>0</v>
      </c>
      <c r="O167" s="321">
        <f t="shared" si="33"/>
        <v>0</v>
      </c>
      <c r="P167" s="322"/>
      <c r="Q167" s="321">
        <f t="shared" si="38"/>
        <v>0</v>
      </c>
      <c r="R167" s="173">
        <f>IF(ISNUMBER(VLOOKUP(E167,InteresPres!$B$2:$W$14,Prestaciones!C167-1997+2,0)),VLOOKUP(E167,InteresPres!$B$2:$W$14,Prestaciones!C167-1997+2,0),"0")/100</f>
        <v>0</v>
      </c>
      <c r="S167" s="323">
        <f t="shared" si="34"/>
        <v>0</v>
      </c>
      <c r="T167" s="323">
        <f t="shared" si="39"/>
        <v>0</v>
      </c>
      <c r="U167" s="5"/>
    </row>
    <row r="168" spans="2:21" x14ac:dyDescent="0.25">
      <c r="B168" s="4"/>
      <c r="C168" s="108">
        <f t="shared" si="35"/>
        <v>2024</v>
      </c>
      <c r="D168" s="109">
        <f t="shared" si="36"/>
        <v>1</v>
      </c>
      <c r="E168" s="110" t="str">
        <f>VLOOKUP(D168,FECHAS!$A$3:$B$14,2,0)</f>
        <v>Enero</v>
      </c>
      <c r="F168" s="319"/>
      <c r="G168" s="108">
        <f t="shared" si="44"/>
        <v>12</v>
      </c>
      <c r="H168" s="108">
        <f t="shared" si="45"/>
        <v>10</v>
      </c>
      <c r="I168" s="111">
        <f t="shared" si="37"/>
        <v>0</v>
      </c>
      <c r="J168" s="111">
        <v>5</v>
      </c>
      <c r="K168" s="111">
        <f t="shared" si="40"/>
        <v>15</v>
      </c>
      <c r="L168" s="111">
        <f t="shared" si="41"/>
        <v>0</v>
      </c>
      <c r="M168" s="143" t="str">
        <f t="shared" si="31"/>
        <v>LOTTT</v>
      </c>
      <c r="N168" s="108">
        <f t="shared" si="32"/>
        <v>15</v>
      </c>
      <c r="O168" s="321">
        <f t="shared" si="33"/>
        <v>0</v>
      </c>
      <c r="P168" s="322"/>
      <c r="Q168" s="321">
        <f t="shared" si="38"/>
        <v>0</v>
      </c>
      <c r="R168" s="173">
        <f>IF(ISNUMBER(VLOOKUP(E168,InteresPres!$B$2:$W$14,Prestaciones!C168-1997+2,0)),VLOOKUP(E168,InteresPres!$B$2:$W$14,Prestaciones!C168-1997+2,0),"0")/100</f>
        <v>0</v>
      </c>
      <c r="S168" s="323">
        <f t="shared" si="34"/>
        <v>0</v>
      </c>
      <c r="T168" s="323">
        <f t="shared" si="39"/>
        <v>0</v>
      </c>
      <c r="U168" s="5"/>
    </row>
    <row r="169" spans="2:21" x14ac:dyDescent="0.25">
      <c r="B169" s="4"/>
      <c r="C169" s="108">
        <f t="shared" si="35"/>
        <v>2024</v>
      </c>
      <c r="D169" s="109">
        <f t="shared" si="36"/>
        <v>2</v>
      </c>
      <c r="E169" s="110" t="str">
        <f>VLOOKUP(D169,FECHAS!$A$3:$B$14,2,0)</f>
        <v>Febrero</v>
      </c>
      <c r="F169" s="319"/>
      <c r="G169" s="108">
        <f t="shared" si="44"/>
        <v>12</v>
      </c>
      <c r="H169" s="108">
        <f t="shared" si="45"/>
        <v>11</v>
      </c>
      <c r="I169" s="111">
        <f t="shared" si="37"/>
        <v>0</v>
      </c>
      <c r="J169" s="111">
        <v>5</v>
      </c>
      <c r="K169" s="111">
        <f t="shared" si="40"/>
        <v>0</v>
      </c>
      <c r="L169" s="111">
        <f t="shared" si="41"/>
        <v>0</v>
      </c>
      <c r="M169" s="143" t="str">
        <f t="shared" si="31"/>
        <v>LOTTT</v>
      </c>
      <c r="N169" s="108">
        <f t="shared" si="32"/>
        <v>0</v>
      </c>
      <c r="O169" s="321">
        <f t="shared" si="33"/>
        <v>0</v>
      </c>
      <c r="P169" s="322"/>
      <c r="Q169" s="321">
        <f t="shared" si="38"/>
        <v>0</v>
      </c>
      <c r="R169" s="173">
        <f>IF(ISNUMBER(VLOOKUP(E169,InteresPres!$B$2:$W$14,Prestaciones!C169-1997+2,0)),VLOOKUP(E169,InteresPres!$B$2:$W$14,Prestaciones!C169-1997+2,0),"0")/100</f>
        <v>0</v>
      </c>
      <c r="S169" s="323">
        <f t="shared" si="34"/>
        <v>0</v>
      </c>
      <c r="T169" s="323">
        <f t="shared" si="39"/>
        <v>0</v>
      </c>
      <c r="U169" s="5"/>
    </row>
    <row r="170" spans="2:21" x14ac:dyDescent="0.25">
      <c r="B170" s="4"/>
      <c r="C170" s="108">
        <f t="shared" si="35"/>
        <v>2024</v>
      </c>
      <c r="D170" s="109">
        <f t="shared" si="36"/>
        <v>3</v>
      </c>
      <c r="E170" s="110" t="str">
        <f>VLOOKUP(D170,FECHAS!$A$3:$B$14,2,0)</f>
        <v>Marzo</v>
      </c>
      <c r="F170" s="319"/>
      <c r="G170" s="108">
        <f t="shared" si="44"/>
        <v>13</v>
      </c>
      <c r="H170" s="108">
        <f t="shared" si="45"/>
        <v>0</v>
      </c>
      <c r="I170" s="111">
        <f t="shared" si="37"/>
        <v>24</v>
      </c>
      <c r="J170" s="111">
        <v>5</v>
      </c>
      <c r="K170" s="111">
        <f t="shared" si="40"/>
        <v>0</v>
      </c>
      <c r="L170" s="111">
        <f t="shared" si="41"/>
        <v>0</v>
      </c>
      <c r="M170" s="143" t="str">
        <f t="shared" si="31"/>
        <v>LOTTT</v>
      </c>
      <c r="N170" s="108">
        <f t="shared" si="32"/>
        <v>24</v>
      </c>
      <c r="O170" s="321">
        <f t="shared" si="33"/>
        <v>0</v>
      </c>
      <c r="P170" s="322"/>
      <c r="Q170" s="321">
        <f t="shared" si="38"/>
        <v>0</v>
      </c>
      <c r="R170" s="173">
        <f>IF(ISNUMBER(VLOOKUP(E170,InteresPres!$B$2:$W$14,Prestaciones!C170-1997+2,0)),VLOOKUP(E170,InteresPres!$B$2:$W$14,Prestaciones!C170-1997+2,0),"0")/100</f>
        <v>0</v>
      </c>
      <c r="S170" s="323">
        <f t="shared" si="34"/>
        <v>0</v>
      </c>
      <c r="T170" s="323">
        <f t="shared" si="39"/>
        <v>0</v>
      </c>
      <c r="U170" s="5"/>
    </row>
    <row r="171" spans="2:21" x14ac:dyDescent="0.25">
      <c r="B171" s="4"/>
      <c r="C171" s="108">
        <f t="shared" si="35"/>
        <v>2024</v>
      </c>
      <c r="D171" s="109">
        <f t="shared" si="36"/>
        <v>4</v>
      </c>
      <c r="E171" s="110" t="str">
        <f>VLOOKUP(D171,FECHAS!$A$3:$B$14,2,0)</f>
        <v>Abril</v>
      </c>
      <c r="F171" s="319"/>
      <c r="G171" s="108">
        <f t="shared" si="44"/>
        <v>13</v>
      </c>
      <c r="H171" s="108">
        <f t="shared" si="45"/>
        <v>1</v>
      </c>
      <c r="I171" s="111">
        <f t="shared" si="37"/>
        <v>0</v>
      </c>
      <c r="J171" s="111">
        <v>5</v>
      </c>
      <c r="K171" s="111">
        <f t="shared" si="40"/>
        <v>15</v>
      </c>
      <c r="L171" s="111">
        <f t="shared" si="41"/>
        <v>0</v>
      </c>
      <c r="M171" s="143" t="str">
        <f t="shared" si="31"/>
        <v>LOTTT</v>
      </c>
      <c r="N171" s="108">
        <f t="shared" si="32"/>
        <v>15</v>
      </c>
      <c r="O171" s="321">
        <f t="shared" si="33"/>
        <v>0</v>
      </c>
      <c r="P171" s="322"/>
      <c r="Q171" s="321">
        <f t="shared" si="38"/>
        <v>0</v>
      </c>
      <c r="R171" s="173">
        <f>IF(ISNUMBER(VLOOKUP(E171,InteresPres!$B$2:$W$14,Prestaciones!C171-1997+2,0)),VLOOKUP(E171,InteresPres!$B$2:$W$14,Prestaciones!C171-1997+2,0),"0")/100</f>
        <v>0</v>
      </c>
      <c r="S171" s="323">
        <f t="shared" si="34"/>
        <v>0</v>
      </c>
      <c r="T171" s="323">
        <f t="shared" si="39"/>
        <v>0</v>
      </c>
      <c r="U171" s="5"/>
    </row>
    <row r="172" spans="2:21" x14ac:dyDescent="0.25">
      <c r="B172" s="4"/>
      <c r="C172" s="108">
        <f t="shared" si="35"/>
        <v>2024</v>
      </c>
      <c r="D172" s="109">
        <f t="shared" si="36"/>
        <v>5</v>
      </c>
      <c r="E172" s="110" t="str">
        <f>VLOOKUP(D172,FECHAS!$A$3:$B$14,2,0)</f>
        <v>Mayo</v>
      </c>
      <c r="F172" s="319"/>
      <c r="G172" s="108">
        <f t="shared" si="44"/>
        <v>13</v>
      </c>
      <c r="H172" s="108">
        <f t="shared" si="45"/>
        <v>2</v>
      </c>
      <c r="I172" s="111">
        <f t="shared" si="37"/>
        <v>0</v>
      </c>
      <c r="J172" s="111">
        <v>5</v>
      </c>
      <c r="K172" s="111">
        <f t="shared" si="40"/>
        <v>0</v>
      </c>
      <c r="L172" s="111">
        <f t="shared" si="41"/>
        <v>0</v>
      </c>
      <c r="M172" s="143" t="str">
        <f t="shared" si="31"/>
        <v>LOTTT</v>
      </c>
      <c r="N172" s="108">
        <f t="shared" si="32"/>
        <v>0</v>
      </c>
      <c r="O172" s="321">
        <f t="shared" si="33"/>
        <v>0</v>
      </c>
      <c r="P172" s="322"/>
      <c r="Q172" s="321">
        <f t="shared" si="38"/>
        <v>0</v>
      </c>
      <c r="R172" s="173">
        <f>IF(ISNUMBER(VLOOKUP(E172,InteresPres!$B$2:$W$14,Prestaciones!C172-1997+2,0)),VLOOKUP(E172,InteresPres!$B$2:$W$14,Prestaciones!C172-1997+2,0),"0")/100</f>
        <v>0</v>
      </c>
      <c r="S172" s="323">
        <f t="shared" si="34"/>
        <v>0</v>
      </c>
      <c r="T172" s="323">
        <f t="shared" si="39"/>
        <v>0</v>
      </c>
      <c r="U172" s="5"/>
    </row>
    <row r="173" spans="2:21" x14ac:dyDescent="0.25">
      <c r="B173" s="4"/>
      <c r="C173" s="108">
        <f t="shared" si="35"/>
        <v>2024</v>
      </c>
      <c r="D173" s="109">
        <f t="shared" si="36"/>
        <v>6</v>
      </c>
      <c r="E173" s="110" t="str">
        <f>VLOOKUP(D173,FECHAS!$A$3:$B$14,2,0)</f>
        <v>Junio</v>
      </c>
      <c r="F173" s="319"/>
      <c r="G173" s="108">
        <f t="shared" si="44"/>
        <v>13</v>
      </c>
      <c r="H173" s="108">
        <f t="shared" si="45"/>
        <v>3</v>
      </c>
      <c r="I173" s="111">
        <f t="shared" si="37"/>
        <v>0</v>
      </c>
      <c r="J173" s="111">
        <v>5</v>
      </c>
      <c r="K173" s="111">
        <f t="shared" si="40"/>
        <v>0</v>
      </c>
      <c r="L173" s="111">
        <f t="shared" si="41"/>
        <v>0</v>
      </c>
      <c r="M173" s="143" t="str">
        <f t="shared" si="31"/>
        <v>LOTTT</v>
      </c>
      <c r="N173" s="108">
        <f t="shared" si="32"/>
        <v>0</v>
      </c>
      <c r="O173" s="321">
        <f t="shared" si="33"/>
        <v>0</v>
      </c>
      <c r="P173" s="322"/>
      <c r="Q173" s="321">
        <f t="shared" si="38"/>
        <v>0</v>
      </c>
      <c r="R173" s="173">
        <f>IF(ISNUMBER(VLOOKUP(E173,InteresPres!$B$2:$W$14,Prestaciones!C173-1997+2,0)),VLOOKUP(E173,InteresPres!$B$2:$W$14,Prestaciones!C173-1997+2,0),"0")/100</f>
        <v>0</v>
      </c>
      <c r="S173" s="323">
        <f t="shared" si="34"/>
        <v>0</v>
      </c>
      <c r="T173" s="323">
        <f t="shared" si="39"/>
        <v>0</v>
      </c>
      <c r="U173" s="5"/>
    </row>
    <row r="174" spans="2:21" x14ac:dyDescent="0.25">
      <c r="B174" s="4"/>
      <c r="C174" s="108">
        <f t="shared" si="35"/>
        <v>2024</v>
      </c>
      <c r="D174" s="109">
        <f t="shared" si="36"/>
        <v>7</v>
      </c>
      <c r="E174" s="110" t="str">
        <f>VLOOKUP(D174,FECHAS!$A$3:$B$14,2,0)</f>
        <v>Julio</v>
      </c>
      <c r="F174" s="319"/>
      <c r="G174" s="108">
        <f t="shared" si="44"/>
        <v>13</v>
      </c>
      <c r="H174" s="108">
        <f t="shared" si="45"/>
        <v>4</v>
      </c>
      <c r="I174" s="111">
        <f t="shared" si="37"/>
        <v>0</v>
      </c>
      <c r="J174" s="111">
        <v>5</v>
      </c>
      <c r="K174" s="111">
        <f t="shared" si="40"/>
        <v>15</v>
      </c>
      <c r="L174" s="111">
        <f t="shared" si="41"/>
        <v>0</v>
      </c>
      <c r="M174" s="143" t="str">
        <f t="shared" si="31"/>
        <v>LOTTT</v>
      </c>
      <c r="N174" s="108">
        <f t="shared" si="32"/>
        <v>15</v>
      </c>
      <c r="O174" s="321">
        <f t="shared" si="33"/>
        <v>0</v>
      </c>
      <c r="P174" s="322"/>
      <c r="Q174" s="321">
        <f t="shared" si="38"/>
        <v>0</v>
      </c>
      <c r="R174" s="173">
        <f>IF(ISNUMBER(VLOOKUP(E174,InteresPres!$B$2:$W$14,Prestaciones!C174-1997+2,0)),VLOOKUP(E174,InteresPres!$B$2:$W$14,Prestaciones!C174-1997+2,0),"0")/100</f>
        <v>0</v>
      </c>
      <c r="S174" s="323">
        <f t="shared" si="34"/>
        <v>0</v>
      </c>
      <c r="T174" s="323">
        <f t="shared" si="39"/>
        <v>0</v>
      </c>
      <c r="U174" s="5"/>
    </row>
    <row r="175" spans="2:21" x14ac:dyDescent="0.25">
      <c r="B175" s="4"/>
      <c r="C175" s="108">
        <f t="shared" si="35"/>
        <v>2024</v>
      </c>
      <c r="D175" s="109">
        <f t="shared" si="36"/>
        <v>8</v>
      </c>
      <c r="E175" s="110" t="str">
        <f>VLOOKUP(D175,FECHAS!$A$3:$B$14,2,0)</f>
        <v>Agosto</v>
      </c>
      <c r="F175" s="319"/>
      <c r="G175" s="108">
        <f t="shared" si="44"/>
        <v>13</v>
      </c>
      <c r="H175" s="108">
        <f t="shared" si="45"/>
        <v>5</v>
      </c>
      <c r="I175" s="111">
        <f t="shared" si="37"/>
        <v>0</v>
      </c>
      <c r="J175" s="111">
        <v>5</v>
      </c>
      <c r="K175" s="111">
        <f t="shared" si="40"/>
        <v>0</v>
      </c>
      <c r="L175" s="111">
        <f t="shared" si="41"/>
        <v>0</v>
      </c>
      <c r="M175" s="143" t="str">
        <f t="shared" si="31"/>
        <v>LOTTT</v>
      </c>
      <c r="N175" s="108">
        <f t="shared" si="32"/>
        <v>0</v>
      </c>
      <c r="O175" s="321">
        <f t="shared" si="33"/>
        <v>0</v>
      </c>
      <c r="P175" s="322"/>
      <c r="Q175" s="321">
        <f t="shared" si="38"/>
        <v>0</v>
      </c>
      <c r="R175" s="173">
        <f>IF(ISNUMBER(VLOOKUP(E175,InteresPres!$B$2:$W$14,Prestaciones!C175-1997+2,0)),VLOOKUP(E175,InteresPres!$B$2:$W$14,Prestaciones!C175-1997+2,0),"0")/100</f>
        <v>0</v>
      </c>
      <c r="S175" s="323">
        <f t="shared" si="34"/>
        <v>0</v>
      </c>
      <c r="T175" s="323">
        <f t="shared" si="39"/>
        <v>0</v>
      </c>
      <c r="U175" s="5"/>
    </row>
    <row r="176" spans="2:21" x14ac:dyDescent="0.25">
      <c r="B176" s="4"/>
      <c r="C176" s="108">
        <f t="shared" si="35"/>
        <v>2024</v>
      </c>
      <c r="D176" s="109">
        <f t="shared" si="36"/>
        <v>9</v>
      </c>
      <c r="E176" s="110" t="str">
        <f>VLOOKUP(D176,FECHAS!$A$3:$B$14,2,0)</f>
        <v>Septiembre</v>
      </c>
      <c r="F176" s="319"/>
      <c r="G176" s="108">
        <f t="shared" si="44"/>
        <v>13</v>
      </c>
      <c r="H176" s="108">
        <f t="shared" si="45"/>
        <v>6</v>
      </c>
      <c r="I176" s="111">
        <f t="shared" si="37"/>
        <v>0</v>
      </c>
      <c r="J176" s="111">
        <v>5</v>
      </c>
      <c r="K176" s="111">
        <f t="shared" si="40"/>
        <v>0</v>
      </c>
      <c r="L176" s="111">
        <f t="shared" si="41"/>
        <v>0</v>
      </c>
      <c r="M176" s="143" t="str">
        <f t="shared" si="31"/>
        <v>LOTTT</v>
      </c>
      <c r="N176" s="108">
        <f t="shared" si="32"/>
        <v>0</v>
      </c>
      <c r="O176" s="321">
        <f t="shared" si="33"/>
        <v>0</v>
      </c>
      <c r="P176" s="322"/>
      <c r="Q176" s="321">
        <f t="shared" si="38"/>
        <v>0</v>
      </c>
      <c r="R176" s="173">
        <f>IF(ISNUMBER(VLOOKUP(E176,InteresPres!$B$2:$W$14,Prestaciones!C176-1997+2,0)),VLOOKUP(E176,InteresPres!$B$2:$W$14,Prestaciones!C176-1997+2,0),"0")/100</f>
        <v>0</v>
      </c>
      <c r="S176" s="323">
        <f t="shared" si="34"/>
        <v>0</v>
      </c>
      <c r="T176" s="323">
        <f t="shared" si="39"/>
        <v>0</v>
      </c>
      <c r="U176" s="5"/>
    </row>
    <row r="177" spans="2:21" x14ac:dyDescent="0.25">
      <c r="B177" s="4"/>
      <c r="C177" s="108">
        <f t="shared" si="35"/>
        <v>2024</v>
      </c>
      <c r="D177" s="109">
        <f t="shared" si="36"/>
        <v>10</v>
      </c>
      <c r="E177" s="110" t="str">
        <f>VLOOKUP(D177,FECHAS!$A$3:$B$14,2,0)</f>
        <v>Octubre</v>
      </c>
      <c r="F177" s="319"/>
      <c r="G177" s="108">
        <f t="shared" si="44"/>
        <v>13</v>
      </c>
      <c r="H177" s="108">
        <f t="shared" si="45"/>
        <v>7</v>
      </c>
      <c r="I177" s="111">
        <f t="shared" si="37"/>
        <v>0</v>
      </c>
      <c r="J177" s="111">
        <v>5</v>
      </c>
      <c r="K177" s="111">
        <f t="shared" si="40"/>
        <v>15</v>
      </c>
      <c r="L177" s="111">
        <f t="shared" si="41"/>
        <v>0</v>
      </c>
      <c r="M177" s="143" t="str">
        <f t="shared" si="31"/>
        <v>LOTTT</v>
      </c>
      <c r="N177" s="108">
        <f t="shared" si="32"/>
        <v>15</v>
      </c>
      <c r="O177" s="321">
        <f t="shared" si="33"/>
        <v>0</v>
      </c>
      <c r="P177" s="322"/>
      <c r="Q177" s="321">
        <f t="shared" si="38"/>
        <v>0</v>
      </c>
      <c r="R177" s="173">
        <f>IF(ISNUMBER(VLOOKUP(E177,InteresPres!$B$2:$W$14,Prestaciones!C177-1997+2,0)),VLOOKUP(E177,InteresPres!$B$2:$W$14,Prestaciones!C177-1997+2,0),"0")/100</f>
        <v>0</v>
      </c>
      <c r="S177" s="323">
        <f t="shared" si="34"/>
        <v>0</v>
      </c>
      <c r="T177" s="323">
        <f t="shared" si="39"/>
        <v>0</v>
      </c>
      <c r="U177" s="5"/>
    </row>
    <row r="178" spans="2:21" x14ac:dyDescent="0.25">
      <c r="B178" s="4"/>
      <c r="C178" s="108">
        <f t="shared" si="35"/>
        <v>2024</v>
      </c>
      <c r="D178" s="109">
        <f t="shared" si="36"/>
        <v>11</v>
      </c>
      <c r="E178" s="110" t="str">
        <f>VLOOKUP(D178,FECHAS!$A$3:$B$14,2,0)</f>
        <v>Noviembre</v>
      </c>
      <c r="F178" s="319"/>
      <c r="G178" s="108">
        <f t="shared" si="44"/>
        <v>13</v>
      </c>
      <c r="H178" s="108">
        <f t="shared" si="45"/>
        <v>8</v>
      </c>
      <c r="I178" s="111">
        <f t="shared" si="37"/>
        <v>0</v>
      </c>
      <c r="J178" s="111">
        <v>5</v>
      </c>
      <c r="K178" s="111">
        <f t="shared" si="40"/>
        <v>0</v>
      </c>
      <c r="L178" s="111">
        <f t="shared" si="41"/>
        <v>0</v>
      </c>
      <c r="M178" s="143" t="str">
        <f t="shared" si="31"/>
        <v>LOTTT</v>
      </c>
      <c r="N178" s="108">
        <f t="shared" si="32"/>
        <v>0</v>
      </c>
      <c r="O178" s="321">
        <f t="shared" si="33"/>
        <v>0</v>
      </c>
      <c r="P178" s="322"/>
      <c r="Q178" s="321">
        <f t="shared" si="38"/>
        <v>0</v>
      </c>
      <c r="R178" s="173">
        <f>IF(ISNUMBER(VLOOKUP(E178,InteresPres!$B$2:$W$14,Prestaciones!C178-1997+2,0)),VLOOKUP(E178,InteresPres!$B$2:$W$14,Prestaciones!C178-1997+2,0),"0")/100</f>
        <v>0</v>
      </c>
      <c r="S178" s="323">
        <f t="shared" si="34"/>
        <v>0</v>
      </c>
      <c r="T178" s="323">
        <f t="shared" si="39"/>
        <v>0</v>
      </c>
      <c r="U178" s="5"/>
    </row>
    <row r="179" spans="2:21" x14ac:dyDescent="0.25">
      <c r="B179" s="4"/>
      <c r="C179" s="108">
        <f t="shared" si="35"/>
        <v>2024</v>
      </c>
      <c r="D179" s="109">
        <f t="shared" si="36"/>
        <v>12</v>
      </c>
      <c r="E179" s="110" t="str">
        <f>VLOOKUP(D179,FECHAS!$A$3:$B$14,2,0)</f>
        <v>Diciembre</v>
      </c>
      <c r="F179" s="319"/>
      <c r="G179" s="108">
        <f t="shared" si="44"/>
        <v>13</v>
      </c>
      <c r="H179" s="108">
        <f t="shared" si="45"/>
        <v>9</v>
      </c>
      <c r="I179" s="111">
        <f t="shared" si="37"/>
        <v>0</v>
      </c>
      <c r="J179" s="111">
        <v>5</v>
      </c>
      <c r="K179" s="111">
        <f t="shared" si="40"/>
        <v>0</v>
      </c>
      <c r="L179" s="111">
        <f t="shared" si="41"/>
        <v>0</v>
      </c>
      <c r="M179" s="143" t="str">
        <f t="shared" si="31"/>
        <v>LOTTT</v>
      </c>
      <c r="N179" s="108">
        <f t="shared" si="32"/>
        <v>0</v>
      </c>
      <c r="O179" s="321">
        <f t="shared" si="33"/>
        <v>0</v>
      </c>
      <c r="P179" s="322"/>
      <c r="Q179" s="321">
        <f t="shared" si="38"/>
        <v>0</v>
      </c>
      <c r="R179" s="173">
        <f>IF(ISNUMBER(VLOOKUP(E179,InteresPres!$B$2:$W$14,Prestaciones!C179-1997+2,0)),VLOOKUP(E179,InteresPres!$B$2:$W$14,Prestaciones!C179-1997+2,0),"0")/100</f>
        <v>0</v>
      </c>
      <c r="S179" s="323">
        <f t="shared" si="34"/>
        <v>0</v>
      </c>
      <c r="T179" s="323">
        <f t="shared" si="39"/>
        <v>0</v>
      </c>
      <c r="U179" s="5"/>
    </row>
    <row r="180" spans="2:21" x14ac:dyDescent="0.25">
      <c r="B180" s="4"/>
      <c r="C180" s="108">
        <f t="shared" si="35"/>
        <v>2025</v>
      </c>
      <c r="D180" s="109">
        <f t="shared" si="36"/>
        <v>1</v>
      </c>
      <c r="E180" s="110" t="str">
        <f>VLOOKUP(D180,FECHAS!$A$3:$B$14,2,0)</f>
        <v>Enero</v>
      </c>
      <c r="F180" s="319"/>
      <c r="G180" s="108">
        <f t="shared" si="44"/>
        <v>13</v>
      </c>
      <c r="H180" s="108">
        <f t="shared" si="45"/>
        <v>10</v>
      </c>
      <c r="I180" s="111">
        <f t="shared" si="37"/>
        <v>0</v>
      </c>
      <c r="J180" s="111">
        <v>5</v>
      </c>
      <c r="K180" s="111">
        <f t="shared" si="40"/>
        <v>15</v>
      </c>
      <c r="L180" s="111">
        <f t="shared" si="41"/>
        <v>0</v>
      </c>
      <c r="M180" s="143" t="str">
        <f t="shared" si="31"/>
        <v>LOTTT</v>
      </c>
      <c r="N180" s="108">
        <f t="shared" si="32"/>
        <v>15</v>
      </c>
      <c r="O180" s="321">
        <f t="shared" si="33"/>
        <v>0</v>
      </c>
      <c r="P180" s="322"/>
      <c r="Q180" s="321">
        <f t="shared" si="38"/>
        <v>0</v>
      </c>
      <c r="R180" s="173">
        <f>IF(ISNUMBER(VLOOKUP(E180,InteresPres!$B$2:$W$14,Prestaciones!C180-1997+2,0)),VLOOKUP(E180,InteresPres!$B$2:$W$14,Prestaciones!C180-1997+2,0),"0")/100</f>
        <v>0</v>
      </c>
      <c r="S180" s="323">
        <f t="shared" si="34"/>
        <v>0</v>
      </c>
      <c r="T180" s="323">
        <f t="shared" si="39"/>
        <v>0</v>
      </c>
      <c r="U180" s="5"/>
    </row>
    <row r="181" spans="2:21" x14ac:dyDescent="0.25">
      <c r="B181" s="4"/>
      <c r="C181" s="108">
        <f t="shared" si="35"/>
        <v>2025</v>
      </c>
      <c r="D181" s="109">
        <f t="shared" si="36"/>
        <v>2</v>
      </c>
      <c r="E181" s="110" t="str">
        <f>VLOOKUP(D181,FECHAS!$A$3:$B$14,2,0)</f>
        <v>Febrero</v>
      </c>
      <c r="F181" s="319"/>
      <c r="G181" s="108">
        <f t="shared" si="44"/>
        <v>13</v>
      </c>
      <c r="H181" s="108">
        <f t="shared" si="45"/>
        <v>11</v>
      </c>
      <c r="I181" s="111">
        <f t="shared" si="37"/>
        <v>0</v>
      </c>
      <c r="J181" s="111">
        <v>5</v>
      </c>
      <c r="K181" s="111">
        <f t="shared" si="40"/>
        <v>0</v>
      </c>
      <c r="L181" s="111">
        <f t="shared" si="41"/>
        <v>0</v>
      </c>
      <c r="M181" s="143" t="str">
        <f t="shared" si="31"/>
        <v>LOTTT</v>
      </c>
      <c r="N181" s="108">
        <f t="shared" si="32"/>
        <v>0</v>
      </c>
      <c r="O181" s="321">
        <f t="shared" si="33"/>
        <v>0</v>
      </c>
      <c r="P181" s="322"/>
      <c r="Q181" s="321">
        <f t="shared" si="38"/>
        <v>0</v>
      </c>
      <c r="R181" s="173">
        <f>IF(ISNUMBER(VLOOKUP(E181,InteresPres!$B$2:$W$14,Prestaciones!C181-1997+2,0)),VLOOKUP(E181,InteresPres!$B$2:$W$14,Prestaciones!C181-1997+2,0),"0")/100</f>
        <v>0</v>
      </c>
      <c r="S181" s="323">
        <f t="shared" si="34"/>
        <v>0</v>
      </c>
      <c r="T181" s="323">
        <f t="shared" si="39"/>
        <v>0</v>
      </c>
      <c r="U181" s="5"/>
    </row>
    <row r="182" spans="2:21" x14ac:dyDescent="0.25">
      <c r="B182" s="4"/>
      <c r="C182" s="108">
        <f t="shared" si="35"/>
        <v>2025</v>
      </c>
      <c r="D182" s="109">
        <f t="shared" si="36"/>
        <v>3</v>
      </c>
      <c r="E182" s="110" t="str">
        <f>VLOOKUP(D182,FECHAS!$A$3:$B$14,2,0)</f>
        <v>Marzo</v>
      </c>
      <c r="F182" s="319"/>
      <c r="G182" s="108">
        <f t="shared" si="44"/>
        <v>14</v>
      </c>
      <c r="H182" s="108">
        <f t="shared" si="45"/>
        <v>0</v>
      </c>
      <c r="I182" s="111">
        <f t="shared" si="37"/>
        <v>26</v>
      </c>
      <c r="J182" s="111">
        <v>5</v>
      </c>
      <c r="K182" s="111">
        <f t="shared" si="40"/>
        <v>0</v>
      </c>
      <c r="L182" s="111">
        <f t="shared" si="41"/>
        <v>0</v>
      </c>
      <c r="M182" s="143" t="str">
        <f t="shared" si="31"/>
        <v>LOTTT</v>
      </c>
      <c r="N182" s="108">
        <f t="shared" si="32"/>
        <v>26</v>
      </c>
      <c r="O182" s="321">
        <f t="shared" si="33"/>
        <v>0</v>
      </c>
      <c r="P182" s="322"/>
      <c r="Q182" s="321">
        <f t="shared" si="38"/>
        <v>0</v>
      </c>
      <c r="R182" s="173">
        <f>IF(ISNUMBER(VLOOKUP(E182,InteresPres!$B$2:$W$14,Prestaciones!C182-1997+2,0)),VLOOKUP(E182,InteresPres!$B$2:$W$14,Prestaciones!C182-1997+2,0),"0")/100</f>
        <v>0</v>
      </c>
      <c r="S182" s="323">
        <f t="shared" si="34"/>
        <v>0</v>
      </c>
      <c r="T182" s="323">
        <f t="shared" si="39"/>
        <v>0</v>
      </c>
      <c r="U182" s="5"/>
    </row>
    <row r="183" spans="2:21" x14ac:dyDescent="0.25">
      <c r="B183" s="4"/>
      <c r="C183" s="108">
        <f t="shared" si="35"/>
        <v>2025</v>
      </c>
      <c r="D183" s="109">
        <f t="shared" si="36"/>
        <v>4</v>
      </c>
      <c r="E183" s="110" t="str">
        <f>VLOOKUP(D183,FECHAS!$A$3:$B$14,2,0)</f>
        <v>Abril</v>
      </c>
      <c r="F183" s="319"/>
      <c r="G183" s="108">
        <f t="shared" si="44"/>
        <v>14</v>
      </c>
      <c r="H183" s="108">
        <f t="shared" si="45"/>
        <v>1</v>
      </c>
      <c r="I183" s="111">
        <f t="shared" si="37"/>
        <v>0</v>
      </c>
      <c r="J183" s="111">
        <v>5</v>
      </c>
      <c r="K183" s="111">
        <f t="shared" si="40"/>
        <v>15</v>
      </c>
      <c r="L183" s="111">
        <f t="shared" si="41"/>
        <v>0</v>
      </c>
      <c r="M183" s="143" t="str">
        <f t="shared" si="31"/>
        <v>LOTTT</v>
      </c>
      <c r="N183" s="108">
        <f t="shared" si="32"/>
        <v>15</v>
      </c>
      <c r="O183" s="321">
        <f t="shared" si="33"/>
        <v>0</v>
      </c>
      <c r="P183" s="322"/>
      <c r="Q183" s="321">
        <f t="shared" si="38"/>
        <v>0</v>
      </c>
      <c r="R183" s="173">
        <f>IF(ISNUMBER(VLOOKUP(E183,InteresPres!$B$2:$W$14,Prestaciones!C183-1997+2,0)),VLOOKUP(E183,InteresPres!$B$2:$W$14,Prestaciones!C183-1997+2,0),"0")/100</f>
        <v>0</v>
      </c>
      <c r="S183" s="323">
        <f t="shared" si="34"/>
        <v>0</v>
      </c>
      <c r="T183" s="323">
        <f t="shared" si="39"/>
        <v>0</v>
      </c>
      <c r="U183" s="5"/>
    </row>
    <row r="184" spans="2:21" x14ac:dyDescent="0.25">
      <c r="B184" s="4"/>
      <c r="C184" s="108">
        <f t="shared" si="35"/>
        <v>2025</v>
      </c>
      <c r="D184" s="109">
        <f t="shared" si="36"/>
        <v>5</v>
      </c>
      <c r="E184" s="110" t="str">
        <f>VLOOKUP(D184,FECHAS!$A$3:$B$14,2,0)</f>
        <v>Mayo</v>
      </c>
      <c r="F184" s="319"/>
      <c r="G184" s="108">
        <f t="shared" si="44"/>
        <v>14</v>
      </c>
      <c r="H184" s="108">
        <f t="shared" si="45"/>
        <v>2</v>
      </c>
      <c r="I184" s="111">
        <f t="shared" si="37"/>
        <v>0</v>
      </c>
      <c r="J184" s="111">
        <v>5</v>
      </c>
      <c r="K184" s="111">
        <f t="shared" si="40"/>
        <v>0</v>
      </c>
      <c r="L184" s="111">
        <f t="shared" si="41"/>
        <v>0</v>
      </c>
      <c r="M184" s="143" t="str">
        <f t="shared" si="31"/>
        <v>LOTTT</v>
      </c>
      <c r="N184" s="108">
        <f t="shared" si="32"/>
        <v>0</v>
      </c>
      <c r="O184" s="321">
        <f t="shared" si="33"/>
        <v>0</v>
      </c>
      <c r="P184" s="322"/>
      <c r="Q184" s="321">
        <f t="shared" si="38"/>
        <v>0</v>
      </c>
      <c r="R184" s="173">
        <f>IF(ISNUMBER(VLOOKUP(E184,InteresPres!$B$2:$W$14,Prestaciones!C184-1997+2,0)),VLOOKUP(E184,InteresPres!$B$2:$W$14,Prestaciones!C184-1997+2,0),"0")/100</f>
        <v>0</v>
      </c>
      <c r="S184" s="323">
        <f t="shared" si="34"/>
        <v>0</v>
      </c>
      <c r="T184" s="323">
        <f t="shared" si="39"/>
        <v>0</v>
      </c>
      <c r="U184" s="5"/>
    </row>
    <row r="185" spans="2:21" x14ac:dyDescent="0.25">
      <c r="B185" s="4"/>
      <c r="C185" s="108">
        <f t="shared" si="35"/>
        <v>2025</v>
      </c>
      <c r="D185" s="109">
        <f t="shared" si="36"/>
        <v>6</v>
      </c>
      <c r="E185" s="110" t="str">
        <f>VLOOKUP(D185,FECHAS!$A$3:$B$14,2,0)</f>
        <v>Junio</v>
      </c>
      <c r="F185" s="319"/>
      <c r="G185" s="108">
        <f t="shared" si="44"/>
        <v>14</v>
      </c>
      <c r="H185" s="108">
        <f t="shared" si="45"/>
        <v>3</v>
      </c>
      <c r="I185" s="111">
        <f t="shared" si="37"/>
        <v>0</v>
      </c>
      <c r="J185" s="111">
        <v>5</v>
      </c>
      <c r="K185" s="111">
        <f t="shared" si="40"/>
        <v>0</v>
      </c>
      <c r="L185" s="111">
        <f t="shared" si="41"/>
        <v>0</v>
      </c>
      <c r="M185" s="143" t="str">
        <f t="shared" si="31"/>
        <v>LOTTT</v>
      </c>
      <c r="N185" s="108">
        <f t="shared" si="32"/>
        <v>0</v>
      </c>
      <c r="O185" s="321">
        <f t="shared" si="33"/>
        <v>0</v>
      </c>
      <c r="P185" s="322"/>
      <c r="Q185" s="321">
        <f t="shared" si="38"/>
        <v>0</v>
      </c>
      <c r="R185" s="173">
        <f>IF(ISNUMBER(VLOOKUP(E185,InteresPres!$B$2:$W$14,Prestaciones!C185-1997+2,0)),VLOOKUP(E185,InteresPres!$B$2:$W$14,Prestaciones!C185-1997+2,0),"0")/100</f>
        <v>0</v>
      </c>
      <c r="S185" s="323">
        <f t="shared" si="34"/>
        <v>0</v>
      </c>
      <c r="T185" s="323">
        <f t="shared" si="39"/>
        <v>0</v>
      </c>
      <c r="U185" s="5"/>
    </row>
    <row r="186" spans="2:21" x14ac:dyDescent="0.25">
      <c r="B186" s="4"/>
      <c r="C186" s="108">
        <f t="shared" si="35"/>
        <v>2025</v>
      </c>
      <c r="D186" s="109">
        <f t="shared" si="36"/>
        <v>7</v>
      </c>
      <c r="E186" s="110" t="str">
        <f>VLOOKUP(D186,FECHAS!$A$3:$B$14,2,0)</f>
        <v>Julio</v>
      </c>
      <c r="F186" s="319"/>
      <c r="G186" s="108">
        <f t="shared" si="44"/>
        <v>14</v>
      </c>
      <c r="H186" s="108">
        <f t="shared" si="45"/>
        <v>4</v>
      </c>
      <c r="I186" s="111">
        <f t="shared" si="37"/>
        <v>0</v>
      </c>
      <c r="J186" s="111">
        <v>5</v>
      </c>
      <c r="K186" s="111">
        <f t="shared" si="40"/>
        <v>15</v>
      </c>
      <c r="L186" s="111">
        <f t="shared" si="41"/>
        <v>0</v>
      </c>
      <c r="M186" s="143" t="str">
        <f t="shared" si="31"/>
        <v>LOTTT</v>
      </c>
      <c r="N186" s="108">
        <f t="shared" si="32"/>
        <v>15</v>
      </c>
      <c r="O186" s="321">
        <f t="shared" si="33"/>
        <v>0</v>
      </c>
      <c r="P186" s="322"/>
      <c r="Q186" s="321">
        <f t="shared" si="38"/>
        <v>0</v>
      </c>
      <c r="R186" s="173">
        <f>IF(ISNUMBER(VLOOKUP(E186,InteresPres!$B$2:$W$14,Prestaciones!C186-1997+2,0)),VLOOKUP(E186,InteresPres!$B$2:$W$14,Prestaciones!C186-1997+2,0),"0")/100</f>
        <v>0</v>
      </c>
      <c r="S186" s="323">
        <f t="shared" si="34"/>
        <v>0</v>
      </c>
      <c r="T186" s="323">
        <f t="shared" si="39"/>
        <v>0</v>
      </c>
      <c r="U186" s="5"/>
    </row>
    <row r="187" spans="2:21" x14ac:dyDescent="0.25">
      <c r="B187" s="4"/>
      <c r="C187" s="108">
        <f t="shared" si="35"/>
        <v>2025</v>
      </c>
      <c r="D187" s="109">
        <f t="shared" si="36"/>
        <v>8</v>
      </c>
      <c r="E187" s="110" t="str">
        <f>VLOOKUP(D187,FECHAS!$A$3:$B$14,2,0)</f>
        <v>Agosto</v>
      </c>
      <c r="F187" s="319"/>
      <c r="G187" s="108">
        <f t="shared" si="44"/>
        <v>14</v>
      </c>
      <c r="H187" s="108">
        <f t="shared" si="45"/>
        <v>5</v>
      </c>
      <c r="I187" s="111">
        <f t="shared" si="37"/>
        <v>0</v>
      </c>
      <c r="J187" s="111">
        <v>5</v>
      </c>
      <c r="K187" s="111">
        <f t="shared" si="40"/>
        <v>0</v>
      </c>
      <c r="L187" s="111">
        <f t="shared" si="41"/>
        <v>0</v>
      </c>
      <c r="M187" s="143" t="str">
        <f t="shared" si="31"/>
        <v>LOTTT</v>
      </c>
      <c r="N187" s="108">
        <f t="shared" si="32"/>
        <v>0</v>
      </c>
      <c r="O187" s="321">
        <f t="shared" si="33"/>
        <v>0</v>
      </c>
      <c r="P187" s="322"/>
      <c r="Q187" s="321">
        <f t="shared" si="38"/>
        <v>0</v>
      </c>
      <c r="R187" s="173">
        <f>IF(ISNUMBER(VLOOKUP(E187,InteresPres!$B$2:$W$14,Prestaciones!C187-1997+2,0)),VLOOKUP(E187,InteresPres!$B$2:$W$14,Prestaciones!C187-1997+2,0),"0")/100</f>
        <v>0</v>
      </c>
      <c r="S187" s="323">
        <f t="shared" si="34"/>
        <v>0</v>
      </c>
      <c r="T187" s="323">
        <f t="shared" si="39"/>
        <v>0</v>
      </c>
      <c r="U187" s="5"/>
    </row>
    <row r="188" spans="2:21" x14ac:dyDescent="0.25">
      <c r="B188" s="4"/>
      <c r="C188" s="108">
        <f t="shared" si="35"/>
        <v>2025</v>
      </c>
      <c r="D188" s="109">
        <f t="shared" si="36"/>
        <v>9</v>
      </c>
      <c r="E188" s="110" t="str">
        <f>VLOOKUP(D188,FECHAS!$A$3:$B$14,2,0)</f>
        <v>Septiembre</v>
      </c>
      <c r="F188" s="319"/>
      <c r="G188" s="108">
        <f>IF(H187=11,G187+1,G187)</f>
        <v>14</v>
      </c>
      <c r="H188" s="108">
        <f>IF(H187=11,0,H187+1)</f>
        <v>6</v>
      </c>
      <c r="I188" s="111">
        <f t="shared" si="37"/>
        <v>0</v>
      </c>
      <c r="J188" s="111">
        <v>5</v>
      </c>
      <c r="K188" s="111">
        <f t="shared" si="40"/>
        <v>0</v>
      </c>
      <c r="L188" s="111">
        <f t="shared" si="41"/>
        <v>0</v>
      </c>
      <c r="M188" s="143" t="str">
        <f t="shared" si="31"/>
        <v>LOTTT</v>
      </c>
      <c r="N188" s="108">
        <f t="shared" si="32"/>
        <v>0</v>
      </c>
      <c r="O188" s="321">
        <f t="shared" si="33"/>
        <v>0</v>
      </c>
      <c r="P188" s="322"/>
      <c r="Q188" s="321">
        <f t="shared" si="38"/>
        <v>0</v>
      </c>
      <c r="R188" s="173">
        <f>IF(ISNUMBER(VLOOKUP(E188,InteresPres!$B$2:$W$14,Prestaciones!C188-1997+2,0)),VLOOKUP(E188,InteresPres!$B$2:$W$14,Prestaciones!C188-1997+2,0),"0")/100</f>
        <v>0</v>
      </c>
      <c r="S188" s="323">
        <f t="shared" si="34"/>
        <v>0</v>
      </c>
      <c r="T188" s="323">
        <f t="shared" si="39"/>
        <v>0</v>
      </c>
      <c r="U188" s="5"/>
    </row>
    <row r="189" spans="2:21" x14ac:dyDescent="0.25">
      <c r="B189" s="4"/>
      <c r="C189" s="108">
        <f t="shared" si="35"/>
        <v>2025</v>
      </c>
      <c r="D189" s="109">
        <f t="shared" si="36"/>
        <v>10</v>
      </c>
      <c r="E189" s="110" t="str">
        <f>VLOOKUP(D189,FECHAS!$A$3:$B$14,2,0)</f>
        <v>Octubre</v>
      </c>
      <c r="F189" s="319"/>
      <c r="G189" s="108">
        <f t="shared" ref="G189:G195" si="46">IF(H188=11,G188+1,G188)</f>
        <v>14</v>
      </c>
      <c r="H189" s="108">
        <f t="shared" ref="H189:H195" si="47">IF(H188=11,0,H188+1)</f>
        <v>7</v>
      </c>
      <c r="I189" s="111">
        <f t="shared" si="37"/>
        <v>0</v>
      </c>
      <c r="J189" s="111">
        <v>5</v>
      </c>
      <c r="K189" s="111">
        <f t="shared" si="40"/>
        <v>15</v>
      </c>
      <c r="L189" s="111">
        <f t="shared" si="41"/>
        <v>0</v>
      </c>
      <c r="M189" s="143" t="str">
        <f t="shared" si="31"/>
        <v>LOTTT</v>
      </c>
      <c r="N189" s="108">
        <f t="shared" si="32"/>
        <v>15</v>
      </c>
      <c r="O189" s="321">
        <f t="shared" si="33"/>
        <v>0</v>
      </c>
      <c r="P189" s="322"/>
      <c r="Q189" s="321">
        <f t="shared" si="38"/>
        <v>0</v>
      </c>
      <c r="R189" s="173">
        <f>IF(ISNUMBER(VLOOKUP(E189,InteresPres!$B$2:$W$14,Prestaciones!C189-1997+2,0)),VLOOKUP(E189,InteresPres!$B$2:$W$14,Prestaciones!C189-1997+2,0),"0")/100</f>
        <v>0</v>
      </c>
      <c r="S189" s="323">
        <f t="shared" si="34"/>
        <v>0</v>
      </c>
      <c r="T189" s="323">
        <f t="shared" si="39"/>
        <v>0</v>
      </c>
      <c r="U189" s="5"/>
    </row>
    <row r="190" spans="2:21" x14ac:dyDescent="0.25">
      <c r="B190" s="4"/>
      <c r="C190" s="108">
        <f t="shared" si="35"/>
        <v>2025</v>
      </c>
      <c r="D190" s="109">
        <f t="shared" si="36"/>
        <v>11</v>
      </c>
      <c r="E190" s="110" t="str">
        <f>VLOOKUP(D190,FECHAS!$A$3:$B$14,2,0)</f>
        <v>Noviembre</v>
      </c>
      <c r="F190" s="319"/>
      <c r="G190" s="108">
        <f t="shared" si="46"/>
        <v>14</v>
      </c>
      <c r="H190" s="108">
        <f t="shared" si="47"/>
        <v>8</v>
      </c>
      <c r="I190" s="111">
        <f t="shared" si="37"/>
        <v>0</v>
      </c>
      <c r="J190" s="111">
        <v>5</v>
      </c>
      <c r="K190" s="111">
        <f t="shared" si="40"/>
        <v>0</v>
      </c>
      <c r="L190" s="111">
        <f t="shared" si="41"/>
        <v>0</v>
      </c>
      <c r="M190" s="143" t="str">
        <f t="shared" si="31"/>
        <v>LOTTT</v>
      </c>
      <c r="N190" s="108">
        <f t="shared" si="32"/>
        <v>0</v>
      </c>
      <c r="O190" s="321">
        <f t="shared" si="33"/>
        <v>0</v>
      </c>
      <c r="P190" s="322"/>
      <c r="Q190" s="321">
        <f t="shared" si="38"/>
        <v>0</v>
      </c>
      <c r="R190" s="173">
        <f>IF(ISNUMBER(VLOOKUP(E190,InteresPres!$B$2:$W$14,Prestaciones!C190-1997+2,0)),VLOOKUP(E190,InteresPres!$B$2:$W$14,Prestaciones!C190-1997+2,0),"0")/100</f>
        <v>0</v>
      </c>
      <c r="S190" s="323">
        <f t="shared" si="34"/>
        <v>0</v>
      </c>
      <c r="T190" s="323">
        <f t="shared" si="39"/>
        <v>0</v>
      </c>
      <c r="U190" s="5"/>
    </row>
    <row r="191" spans="2:21" x14ac:dyDescent="0.25">
      <c r="B191" s="4"/>
      <c r="C191" s="108">
        <f t="shared" si="35"/>
        <v>2025</v>
      </c>
      <c r="D191" s="109">
        <f t="shared" si="36"/>
        <v>12</v>
      </c>
      <c r="E191" s="110" t="str">
        <f>VLOOKUP(D191,FECHAS!$A$3:$B$14,2,0)</f>
        <v>Diciembre</v>
      </c>
      <c r="F191" s="319"/>
      <c r="G191" s="108">
        <f t="shared" si="46"/>
        <v>14</v>
      </c>
      <c r="H191" s="108">
        <f t="shared" si="47"/>
        <v>9</v>
      </c>
      <c r="I191" s="111">
        <f t="shared" si="37"/>
        <v>0</v>
      </c>
      <c r="J191" s="111">
        <v>5</v>
      </c>
      <c r="K191" s="111">
        <f t="shared" si="40"/>
        <v>0</v>
      </c>
      <c r="L191" s="111">
        <f t="shared" si="41"/>
        <v>0</v>
      </c>
      <c r="M191" s="143" t="str">
        <f t="shared" si="31"/>
        <v>LOTTT</v>
      </c>
      <c r="N191" s="108">
        <f t="shared" si="32"/>
        <v>0</v>
      </c>
      <c r="O191" s="321">
        <f t="shared" si="33"/>
        <v>0</v>
      </c>
      <c r="P191" s="322"/>
      <c r="Q191" s="321">
        <f t="shared" si="38"/>
        <v>0</v>
      </c>
      <c r="R191" s="173">
        <f>IF(ISNUMBER(VLOOKUP(E191,InteresPres!$B$2:$W$14,Prestaciones!C191-1997+2,0)),VLOOKUP(E191,InteresPres!$B$2:$W$14,Prestaciones!C191-1997+2,0),"0")/100</f>
        <v>0</v>
      </c>
      <c r="S191" s="323">
        <f t="shared" si="34"/>
        <v>0</v>
      </c>
      <c r="T191" s="323">
        <f t="shared" si="39"/>
        <v>0</v>
      </c>
      <c r="U191" s="5"/>
    </row>
    <row r="192" spans="2:21" x14ac:dyDescent="0.25">
      <c r="B192" s="4"/>
      <c r="C192" s="108">
        <f t="shared" si="35"/>
        <v>2026</v>
      </c>
      <c r="D192" s="109">
        <f t="shared" si="36"/>
        <v>1</v>
      </c>
      <c r="E192" s="110" t="str">
        <f>VLOOKUP(D192,FECHAS!$A$3:$B$14,2,0)</f>
        <v>Enero</v>
      </c>
      <c r="F192" s="319"/>
      <c r="G192" s="108">
        <f t="shared" si="46"/>
        <v>14</v>
      </c>
      <c r="H192" s="108">
        <f t="shared" si="47"/>
        <v>10</v>
      </c>
      <c r="I192" s="111">
        <f t="shared" si="37"/>
        <v>0</v>
      </c>
      <c r="J192" s="111">
        <v>5</v>
      </c>
      <c r="K192" s="111">
        <f t="shared" si="40"/>
        <v>15</v>
      </c>
      <c r="L192" s="111">
        <f t="shared" si="41"/>
        <v>0</v>
      </c>
      <c r="M192" s="143" t="str">
        <f t="shared" si="31"/>
        <v>LOTTT</v>
      </c>
      <c r="N192" s="108">
        <f t="shared" si="32"/>
        <v>15</v>
      </c>
      <c r="O192" s="321">
        <f t="shared" si="33"/>
        <v>0</v>
      </c>
      <c r="P192" s="322"/>
      <c r="Q192" s="321">
        <f t="shared" si="38"/>
        <v>0</v>
      </c>
      <c r="R192" s="173">
        <f>IF(ISNUMBER(VLOOKUP(E192,InteresPres!$B$2:$W$14,Prestaciones!C192-1997+2,0)),VLOOKUP(E192,InteresPres!$B$2:$W$14,Prestaciones!C192-1997+2,0),"0")/100</f>
        <v>0</v>
      </c>
      <c r="S192" s="323">
        <f t="shared" si="34"/>
        <v>0</v>
      </c>
      <c r="T192" s="323">
        <f t="shared" si="39"/>
        <v>0</v>
      </c>
      <c r="U192" s="5"/>
    </row>
    <row r="193" spans="2:21" x14ac:dyDescent="0.25">
      <c r="B193" s="4"/>
      <c r="C193" s="108">
        <f t="shared" si="35"/>
        <v>2026</v>
      </c>
      <c r="D193" s="109">
        <f t="shared" si="36"/>
        <v>2</v>
      </c>
      <c r="E193" s="110" t="str">
        <f>VLOOKUP(D193,FECHAS!$A$3:$B$14,2,0)</f>
        <v>Febrero</v>
      </c>
      <c r="F193" s="319"/>
      <c r="G193" s="108">
        <f t="shared" si="46"/>
        <v>14</v>
      </c>
      <c r="H193" s="108">
        <f t="shared" si="47"/>
        <v>11</v>
      </c>
      <c r="I193" s="111">
        <f t="shared" si="37"/>
        <v>0</v>
      </c>
      <c r="J193" s="111">
        <v>5</v>
      </c>
      <c r="K193" s="111">
        <f t="shared" si="40"/>
        <v>0</v>
      </c>
      <c r="L193" s="111">
        <f t="shared" si="41"/>
        <v>0</v>
      </c>
      <c r="M193" s="143" t="str">
        <f t="shared" si="31"/>
        <v>LOTTT</v>
      </c>
      <c r="N193" s="108">
        <f t="shared" si="32"/>
        <v>0</v>
      </c>
      <c r="O193" s="321">
        <f t="shared" si="33"/>
        <v>0</v>
      </c>
      <c r="P193" s="322"/>
      <c r="Q193" s="321">
        <f t="shared" si="38"/>
        <v>0</v>
      </c>
      <c r="R193" s="173">
        <f>IF(ISNUMBER(VLOOKUP(E193,InteresPres!$B$2:$W$14,Prestaciones!C193-1997+2,0)),VLOOKUP(E193,InteresPres!$B$2:$W$14,Prestaciones!C193-1997+2,0),"0")/100</f>
        <v>0</v>
      </c>
      <c r="S193" s="323">
        <f t="shared" si="34"/>
        <v>0</v>
      </c>
      <c r="T193" s="323">
        <f t="shared" si="39"/>
        <v>0</v>
      </c>
      <c r="U193" s="5"/>
    </row>
    <row r="194" spans="2:21" x14ac:dyDescent="0.25">
      <c r="B194" s="4"/>
      <c r="C194" s="108">
        <f t="shared" si="35"/>
        <v>2026</v>
      </c>
      <c r="D194" s="109">
        <f t="shared" si="36"/>
        <v>3</v>
      </c>
      <c r="E194" s="110" t="str">
        <f>VLOOKUP(D194,FECHAS!$A$3:$B$14,2,0)</f>
        <v>Marzo</v>
      </c>
      <c r="F194" s="319"/>
      <c r="G194" s="108">
        <f t="shared" si="46"/>
        <v>15</v>
      </c>
      <c r="H194" s="108">
        <f t="shared" si="47"/>
        <v>0</v>
      </c>
      <c r="I194" s="111">
        <f t="shared" si="37"/>
        <v>28</v>
      </c>
      <c r="J194" s="111">
        <v>5</v>
      </c>
      <c r="K194" s="111">
        <f t="shared" si="40"/>
        <v>0</v>
      </c>
      <c r="L194" s="111">
        <f t="shared" si="41"/>
        <v>0</v>
      </c>
      <c r="M194" s="143" t="str">
        <f t="shared" si="31"/>
        <v>LOTTT</v>
      </c>
      <c r="N194" s="108">
        <f t="shared" si="32"/>
        <v>28</v>
      </c>
      <c r="O194" s="321">
        <f t="shared" si="33"/>
        <v>0</v>
      </c>
      <c r="P194" s="322"/>
      <c r="Q194" s="321">
        <f t="shared" si="38"/>
        <v>0</v>
      </c>
      <c r="R194" s="173">
        <f>IF(ISNUMBER(VLOOKUP(E194,InteresPres!$B$2:$W$14,Prestaciones!C194-1997+2,0)),VLOOKUP(E194,InteresPres!$B$2:$W$14,Prestaciones!C194-1997+2,0),"0")/100</f>
        <v>0</v>
      </c>
      <c r="S194" s="323">
        <f t="shared" si="34"/>
        <v>0</v>
      </c>
      <c r="T194" s="323">
        <f t="shared" si="39"/>
        <v>0</v>
      </c>
      <c r="U194" s="5"/>
    </row>
    <row r="195" spans="2:21" x14ac:dyDescent="0.25">
      <c r="B195" s="4"/>
      <c r="C195" s="108">
        <f t="shared" si="35"/>
        <v>2026</v>
      </c>
      <c r="D195" s="109">
        <f t="shared" si="36"/>
        <v>4</v>
      </c>
      <c r="E195" s="110" t="str">
        <f>VLOOKUP(D195,FECHAS!$A$3:$B$14,2,0)</f>
        <v>Abril</v>
      </c>
      <c r="F195" s="319"/>
      <c r="G195" s="108">
        <f t="shared" si="46"/>
        <v>15</v>
      </c>
      <c r="H195" s="108">
        <f t="shared" si="47"/>
        <v>1</v>
      </c>
      <c r="I195" s="111">
        <f t="shared" si="37"/>
        <v>0</v>
      </c>
      <c r="J195" s="111">
        <v>5</v>
      </c>
      <c r="K195" s="111">
        <f t="shared" si="40"/>
        <v>15</v>
      </c>
      <c r="L195" s="111">
        <f t="shared" si="41"/>
        <v>0</v>
      </c>
      <c r="M195" s="143" t="str">
        <f t="shared" si="31"/>
        <v>LOTTT</v>
      </c>
      <c r="N195" s="108">
        <f t="shared" si="32"/>
        <v>15</v>
      </c>
      <c r="O195" s="321">
        <f t="shared" si="33"/>
        <v>0</v>
      </c>
      <c r="P195" s="322"/>
      <c r="Q195" s="321">
        <f t="shared" si="38"/>
        <v>0</v>
      </c>
      <c r="R195" s="173">
        <f>IF(ISNUMBER(VLOOKUP(E195,InteresPres!$B$2:$W$14,Prestaciones!C195-1997+2,0)),VLOOKUP(E195,InteresPres!$B$2:$W$14,Prestaciones!C195-1997+2,0),"0")/100</f>
        <v>0</v>
      </c>
      <c r="S195" s="323">
        <f t="shared" si="34"/>
        <v>0</v>
      </c>
      <c r="T195" s="323">
        <f t="shared" si="39"/>
        <v>0</v>
      </c>
      <c r="U195" s="5"/>
    </row>
    <row r="196" spans="2:21" x14ac:dyDescent="0.25">
      <c r="B196" s="4"/>
      <c r="C196" s="108">
        <f t="shared" si="35"/>
        <v>2026</v>
      </c>
      <c r="D196" s="109">
        <f t="shared" si="36"/>
        <v>5</v>
      </c>
      <c r="E196" s="110" t="str">
        <f>VLOOKUP(D196,FECHAS!$A$3:$B$14,2,0)</f>
        <v>Mayo</v>
      </c>
      <c r="F196" s="319"/>
      <c r="G196" s="108">
        <f>IF(H195=11,G195+1,G195)</f>
        <v>15</v>
      </c>
      <c r="H196" s="108">
        <f>IF(H195=11,0,H195+1)</f>
        <v>2</v>
      </c>
      <c r="I196" s="111">
        <f t="shared" si="37"/>
        <v>0</v>
      </c>
      <c r="J196" s="111">
        <v>5</v>
      </c>
      <c r="K196" s="111">
        <f t="shared" si="40"/>
        <v>0</v>
      </c>
      <c r="L196" s="111">
        <f t="shared" si="41"/>
        <v>0</v>
      </c>
      <c r="M196" s="143" t="str">
        <f t="shared" si="31"/>
        <v>LOTTT</v>
      </c>
      <c r="N196" s="108">
        <f t="shared" si="32"/>
        <v>0</v>
      </c>
      <c r="O196" s="321">
        <f t="shared" si="33"/>
        <v>0</v>
      </c>
      <c r="P196" s="322"/>
      <c r="Q196" s="321">
        <f t="shared" si="38"/>
        <v>0</v>
      </c>
      <c r="R196" s="173">
        <f>IF(ISNUMBER(VLOOKUP(E196,InteresPres!$B$2:$W$14,Prestaciones!C196-1997+2,0)),VLOOKUP(E196,InteresPres!$B$2:$W$14,Prestaciones!C196-1997+2,0),"0")/100</f>
        <v>0</v>
      </c>
      <c r="S196" s="323">
        <f t="shared" si="34"/>
        <v>0</v>
      </c>
      <c r="T196" s="323">
        <f t="shared" si="39"/>
        <v>0</v>
      </c>
      <c r="U196" s="5"/>
    </row>
    <row r="197" spans="2:21" x14ac:dyDescent="0.25">
      <c r="B197" s="4"/>
      <c r="C197" s="108">
        <f t="shared" si="35"/>
        <v>2026</v>
      </c>
      <c r="D197" s="109">
        <f t="shared" si="36"/>
        <v>6</v>
      </c>
      <c r="E197" s="110" t="str">
        <f>VLOOKUP(D197,FECHAS!$A$3:$B$14,2,0)</f>
        <v>Junio</v>
      </c>
      <c r="F197" s="319"/>
      <c r="G197" s="108">
        <f t="shared" ref="G197:G205" si="48">IF(H196=11,G196+1,G196)</f>
        <v>15</v>
      </c>
      <c r="H197" s="108">
        <f t="shared" ref="H197:H260" si="49">IF(H196=11,0,H196+1)</f>
        <v>3</v>
      </c>
      <c r="I197" s="111">
        <f t="shared" si="37"/>
        <v>0</v>
      </c>
      <c r="J197" s="111">
        <v>5</v>
      </c>
      <c r="K197" s="111">
        <f t="shared" si="40"/>
        <v>0</v>
      </c>
      <c r="L197" s="111">
        <f t="shared" si="41"/>
        <v>0</v>
      </c>
      <c r="M197" s="143" t="str">
        <f t="shared" si="31"/>
        <v>LOTTT</v>
      </c>
      <c r="N197" s="108">
        <f t="shared" si="32"/>
        <v>0</v>
      </c>
      <c r="O197" s="321">
        <f t="shared" si="33"/>
        <v>0</v>
      </c>
      <c r="P197" s="322"/>
      <c r="Q197" s="321">
        <f t="shared" si="38"/>
        <v>0</v>
      </c>
      <c r="R197" s="173">
        <f>IF(ISNUMBER(VLOOKUP(E197,InteresPres!$B$2:$W$14,Prestaciones!C197-1997+2,0)),VLOOKUP(E197,InteresPres!$B$2:$W$14,Prestaciones!C197-1997+2,0),"0")/100</f>
        <v>0</v>
      </c>
      <c r="S197" s="323">
        <f t="shared" si="34"/>
        <v>0</v>
      </c>
      <c r="T197" s="323">
        <f t="shared" si="39"/>
        <v>0</v>
      </c>
      <c r="U197" s="5"/>
    </row>
    <row r="198" spans="2:21" x14ac:dyDescent="0.25">
      <c r="B198" s="4"/>
      <c r="C198" s="108">
        <f t="shared" si="35"/>
        <v>2026</v>
      </c>
      <c r="D198" s="109">
        <f t="shared" si="36"/>
        <v>7</v>
      </c>
      <c r="E198" s="110" t="str">
        <f>VLOOKUP(D198,FECHAS!$A$3:$B$14,2,0)</f>
        <v>Julio</v>
      </c>
      <c r="F198" s="319"/>
      <c r="G198" s="108">
        <f t="shared" si="48"/>
        <v>15</v>
      </c>
      <c r="H198" s="108">
        <f t="shared" si="49"/>
        <v>4</v>
      </c>
      <c r="I198" s="111">
        <f t="shared" si="37"/>
        <v>0</v>
      </c>
      <c r="J198" s="111">
        <v>5</v>
      </c>
      <c r="K198" s="111">
        <f t="shared" si="40"/>
        <v>15</v>
      </c>
      <c r="L198" s="111">
        <f t="shared" si="41"/>
        <v>0</v>
      </c>
      <c r="M198" s="143" t="str">
        <f t="shared" si="31"/>
        <v>LOTTT</v>
      </c>
      <c r="N198" s="108">
        <f t="shared" si="32"/>
        <v>15</v>
      </c>
      <c r="O198" s="321">
        <f t="shared" si="33"/>
        <v>0</v>
      </c>
      <c r="P198" s="322"/>
      <c r="Q198" s="321">
        <f t="shared" si="38"/>
        <v>0</v>
      </c>
      <c r="R198" s="173">
        <f>IF(ISNUMBER(VLOOKUP(E198,InteresPres!$B$2:$W$14,Prestaciones!C198-1997+2,0)),VLOOKUP(E198,InteresPres!$B$2:$W$14,Prestaciones!C198-1997+2,0),"0")/100</f>
        <v>0</v>
      </c>
      <c r="S198" s="323">
        <f t="shared" si="34"/>
        <v>0</v>
      </c>
      <c r="T198" s="323">
        <f t="shared" si="39"/>
        <v>0</v>
      </c>
      <c r="U198" s="5"/>
    </row>
    <row r="199" spans="2:21" x14ac:dyDescent="0.25">
      <c r="B199" s="4"/>
      <c r="C199" s="108">
        <f t="shared" si="35"/>
        <v>2026</v>
      </c>
      <c r="D199" s="109">
        <f t="shared" si="36"/>
        <v>8</v>
      </c>
      <c r="E199" s="110" t="str">
        <f>VLOOKUP(D199,FECHAS!$A$3:$B$14,2,0)</f>
        <v>Agosto</v>
      </c>
      <c r="F199" s="319"/>
      <c r="G199" s="108">
        <f t="shared" si="48"/>
        <v>15</v>
      </c>
      <c r="H199" s="108">
        <f t="shared" si="49"/>
        <v>5</v>
      </c>
      <c r="I199" s="111">
        <f t="shared" si="37"/>
        <v>0</v>
      </c>
      <c r="J199" s="111">
        <v>5</v>
      </c>
      <c r="K199" s="111">
        <f t="shared" si="40"/>
        <v>0</v>
      </c>
      <c r="L199" s="111">
        <f t="shared" si="41"/>
        <v>0</v>
      </c>
      <c r="M199" s="143" t="str">
        <f t="shared" si="31"/>
        <v>LOTTT</v>
      </c>
      <c r="N199" s="108">
        <f t="shared" si="32"/>
        <v>0</v>
      </c>
      <c r="O199" s="321">
        <f t="shared" si="33"/>
        <v>0</v>
      </c>
      <c r="P199" s="322"/>
      <c r="Q199" s="321">
        <f t="shared" si="38"/>
        <v>0</v>
      </c>
      <c r="R199" s="173">
        <f>IF(ISNUMBER(VLOOKUP(E199,InteresPres!$B$2:$W$14,Prestaciones!C199-1997+2,0)),VLOOKUP(E199,InteresPres!$B$2:$W$14,Prestaciones!C199-1997+2,0),"0")/100</f>
        <v>0</v>
      </c>
      <c r="S199" s="323">
        <f t="shared" si="34"/>
        <v>0</v>
      </c>
      <c r="T199" s="323">
        <f t="shared" si="39"/>
        <v>0</v>
      </c>
      <c r="U199" s="5"/>
    </row>
    <row r="200" spans="2:21" x14ac:dyDescent="0.25">
      <c r="B200" s="4"/>
      <c r="C200" s="108">
        <f t="shared" si="35"/>
        <v>2026</v>
      </c>
      <c r="D200" s="109">
        <f t="shared" si="36"/>
        <v>9</v>
      </c>
      <c r="E200" s="110" t="str">
        <f>VLOOKUP(D200,FECHAS!$A$3:$B$14,2,0)</f>
        <v>Septiembre</v>
      </c>
      <c r="F200" s="319"/>
      <c r="G200" s="108">
        <f t="shared" si="48"/>
        <v>15</v>
      </c>
      <c r="H200" s="108">
        <f t="shared" si="49"/>
        <v>6</v>
      </c>
      <c r="I200" s="111">
        <f t="shared" si="37"/>
        <v>0</v>
      </c>
      <c r="J200" s="111">
        <v>5</v>
      </c>
      <c r="K200" s="111">
        <f t="shared" si="40"/>
        <v>0</v>
      </c>
      <c r="L200" s="111">
        <f t="shared" si="41"/>
        <v>0</v>
      </c>
      <c r="M200" s="143" t="str">
        <f t="shared" si="31"/>
        <v>LOTTT</v>
      </c>
      <c r="N200" s="108">
        <f t="shared" si="32"/>
        <v>0</v>
      </c>
      <c r="O200" s="321">
        <f t="shared" si="33"/>
        <v>0</v>
      </c>
      <c r="P200" s="322"/>
      <c r="Q200" s="321">
        <f t="shared" si="38"/>
        <v>0</v>
      </c>
      <c r="R200" s="173">
        <f>IF(ISNUMBER(VLOOKUP(E200,InteresPres!$B$2:$W$14,Prestaciones!C200-1997+2,0)),VLOOKUP(E200,InteresPres!$B$2:$W$14,Prestaciones!C200-1997+2,0),"0")/100</f>
        <v>0</v>
      </c>
      <c r="S200" s="323">
        <f t="shared" si="34"/>
        <v>0</v>
      </c>
      <c r="T200" s="323">
        <f t="shared" si="39"/>
        <v>0</v>
      </c>
      <c r="U200" s="5"/>
    </row>
    <row r="201" spans="2:21" x14ac:dyDescent="0.25">
      <c r="B201" s="4"/>
      <c r="C201" s="108">
        <f t="shared" si="35"/>
        <v>2026</v>
      </c>
      <c r="D201" s="109">
        <f t="shared" si="36"/>
        <v>10</v>
      </c>
      <c r="E201" s="110" t="str">
        <f>VLOOKUP(D201,FECHAS!$A$3:$B$14,2,0)</f>
        <v>Octubre</v>
      </c>
      <c r="F201" s="319"/>
      <c r="G201" s="108">
        <f t="shared" si="48"/>
        <v>15</v>
      </c>
      <c r="H201" s="108">
        <f t="shared" si="49"/>
        <v>7</v>
      </c>
      <c r="I201" s="111">
        <f t="shared" si="37"/>
        <v>0</v>
      </c>
      <c r="J201" s="111">
        <v>5</v>
      </c>
      <c r="K201" s="111">
        <f t="shared" si="40"/>
        <v>15</v>
      </c>
      <c r="L201" s="111">
        <f t="shared" si="41"/>
        <v>0</v>
      </c>
      <c r="M201" s="143" t="str">
        <f t="shared" si="31"/>
        <v>LOTTT</v>
      </c>
      <c r="N201" s="108">
        <f t="shared" si="32"/>
        <v>15</v>
      </c>
      <c r="O201" s="321">
        <f t="shared" si="33"/>
        <v>0</v>
      </c>
      <c r="P201" s="322"/>
      <c r="Q201" s="321">
        <f t="shared" si="38"/>
        <v>0</v>
      </c>
      <c r="R201" s="173">
        <f>IF(ISNUMBER(VLOOKUP(E201,InteresPres!$B$2:$W$14,Prestaciones!C201-1997+2,0)),VLOOKUP(E201,InteresPres!$B$2:$W$14,Prestaciones!C201-1997+2,0),"0")/100</f>
        <v>0</v>
      </c>
      <c r="S201" s="323">
        <f t="shared" si="34"/>
        <v>0</v>
      </c>
      <c r="T201" s="323">
        <f t="shared" si="39"/>
        <v>0</v>
      </c>
      <c r="U201" s="5"/>
    </row>
    <row r="202" spans="2:21" x14ac:dyDescent="0.25">
      <c r="B202" s="4"/>
      <c r="C202" s="108">
        <f t="shared" si="35"/>
        <v>2026</v>
      </c>
      <c r="D202" s="109">
        <f t="shared" si="36"/>
        <v>11</v>
      </c>
      <c r="E202" s="110" t="str">
        <f>VLOOKUP(D202,FECHAS!$A$3:$B$14,2,0)</f>
        <v>Noviembre</v>
      </c>
      <c r="F202" s="319"/>
      <c r="G202" s="108">
        <f t="shared" si="48"/>
        <v>15</v>
      </c>
      <c r="H202" s="108">
        <f t="shared" si="49"/>
        <v>8</v>
      </c>
      <c r="I202" s="111">
        <f t="shared" si="37"/>
        <v>0</v>
      </c>
      <c r="J202" s="111">
        <v>5</v>
      </c>
      <c r="K202" s="111">
        <f t="shared" si="40"/>
        <v>0</v>
      </c>
      <c r="L202" s="111">
        <f t="shared" si="41"/>
        <v>0</v>
      </c>
      <c r="M202" s="143" t="str">
        <f t="shared" si="31"/>
        <v>LOTTT</v>
      </c>
      <c r="N202" s="108">
        <f t="shared" si="32"/>
        <v>0</v>
      </c>
      <c r="O202" s="321">
        <f t="shared" si="33"/>
        <v>0</v>
      </c>
      <c r="P202" s="322"/>
      <c r="Q202" s="321">
        <f t="shared" si="38"/>
        <v>0</v>
      </c>
      <c r="R202" s="173">
        <f>IF(ISNUMBER(VLOOKUP(E202,InteresPres!$B$2:$W$14,Prestaciones!C202-1997+2,0)),VLOOKUP(E202,InteresPres!$B$2:$W$14,Prestaciones!C202-1997+2,0),"0")/100</f>
        <v>0</v>
      </c>
      <c r="S202" s="323">
        <f t="shared" si="34"/>
        <v>0</v>
      </c>
      <c r="T202" s="323">
        <f t="shared" si="39"/>
        <v>0</v>
      </c>
      <c r="U202" s="5"/>
    </row>
    <row r="203" spans="2:21" x14ac:dyDescent="0.25">
      <c r="B203" s="4"/>
      <c r="C203" s="108">
        <f t="shared" si="35"/>
        <v>2026</v>
      </c>
      <c r="D203" s="109">
        <f t="shared" si="36"/>
        <v>12</v>
      </c>
      <c r="E203" s="110" t="str">
        <f>VLOOKUP(D203,FECHAS!$A$3:$B$14,2,0)</f>
        <v>Diciembre</v>
      </c>
      <c r="F203" s="319"/>
      <c r="G203" s="108">
        <f t="shared" si="48"/>
        <v>15</v>
      </c>
      <c r="H203" s="108">
        <f t="shared" si="49"/>
        <v>9</v>
      </c>
      <c r="I203" s="111">
        <f t="shared" si="37"/>
        <v>0</v>
      </c>
      <c r="J203" s="111">
        <v>5</v>
      </c>
      <c r="K203" s="111">
        <f t="shared" si="40"/>
        <v>0</v>
      </c>
      <c r="L203" s="111">
        <f t="shared" si="41"/>
        <v>0</v>
      </c>
      <c r="M203" s="143" t="str">
        <f t="shared" si="31"/>
        <v>LOTTT</v>
      </c>
      <c r="N203" s="108">
        <f t="shared" si="32"/>
        <v>0</v>
      </c>
      <c r="O203" s="321">
        <f t="shared" si="33"/>
        <v>0</v>
      </c>
      <c r="P203" s="322"/>
      <c r="Q203" s="321">
        <f t="shared" si="38"/>
        <v>0</v>
      </c>
      <c r="R203" s="173">
        <f>IF(ISNUMBER(VLOOKUP(E203,InteresPres!$B$2:$W$14,Prestaciones!C203-1997+2,0)),VLOOKUP(E203,InteresPres!$B$2:$W$14,Prestaciones!C203-1997+2,0),"0")/100</f>
        <v>0</v>
      </c>
      <c r="S203" s="323">
        <f t="shared" si="34"/>
        <v>0</v>
      </c>
      <c r="T203" s="323">
        <f t="shared" si="39"/>
        <v>0</v>
      </c>
      <c r="U203" s="5"/>
    </row>
    <row r="204" spans="2:21" x14ac:dyDescent="0.25">
      <c r="B204" s="4"/>
      <c r="C204" s="108">
        <f t="shared" si="35"/>
        <v>2027</v>
      </c>
      <c r="D204" s="109">
        <f t="shared" si="36"/>
        <v>1</v>
      </c>
      <c r="E204" s="110" t="str">
        <f>VLOOKUP(D204,FECHAS!$A$3:$B$14,2,0)</f>
        <v>Enero</v>
      </c>
      <c r="F204" s="319"/>
      <c r="G204" s="108">
        <f t="shared" si="48"/>
        <v>15</v>
      </c>
      <c r="H204" s="108">
        <f t="shared" si="49"/>
        <v>10</v>
      </c>
      <c r="I204" s="111">
        <f t="shared" si="37"/>
        <v>0</v>
      </c>
      <c r="J204" s="111">
        <v>5</v>
      </c>
      <c r="K204" s="111">
        <f t="shared" si="40"/>
        <v>15</v>
      </c>
      <c r="L204" s="111">
        <f t="shared" si="41"/>
        <v>0</v>
      </c>
      <c r="M204" s="143" t="str">
        <f t="shared" si="31"/>
        <v>LOTTT</v>
      </c>
      <c r="N204" s="108">
        <f t="shared" si="32"/>
        <v>15</v>
      </c>
      <c r="O204" s="321">
        <f t="shared" si="33"/>
        <v>0</v>
      </c>
      <c r="P204" s="322"/>
      <c r="Q204" s="321">
        <f t="shared" si="38"/>
        <v>0</v>
      </c>
      <c r="R204" s="173">
        <f>IF(ISNUMBER(VLOOKUP(E204,InteresPres!$B$2:$W$14,Prestaciones!C204-1997+2,0)),VLOOKUP(E204,InteresPres!$B$2:$W$14,Prestaciones!C204-1997+2,0),"0")/100</f>
        <v>0</v>
      </c>
      <c r="S204" s="323">
        <f t="shared" si="34"/>
        <v>0</v>
      </c>
      <c r="T204" s="323">
        <f t="shared" si="39"/>
        <v>0</v>
      </c>
      <c r="U204" s="5"/>
    </row>
    <row r="205" spans="2:21" x14ac:dyDescent="0.25">
      <c r="B205" s="4"/>
      <c r="C205" s="108">
        <f t="shared" si="35"/>
        <v>2027</v>
      </c>
      <c r="D205" s="109">
        <f t="shared" si="36"/>
        <v>2</v>
      </c>
      <c r="E205" s="110" t="str">
        <f>VLOOKUP(D205,FECHAS!$A$3:$B$14,2,0)</f>
        <v>Febrero</v>
      </c>
      <c r="F205" s="319"/>
      <c r="G205" s="108">
        <f t="shared" si="48"/>
        <v>15</v>
      </c>
      <c r="H205" s="108">
        <f t="shared" si="49"/>
        <v>11</v>
      </c>
      <c r="I205" s="111">
        <f t="shared" si="37"/>
        <v>0</v>
      </c>
      <c r="J205" s="111">
        <v>5</v>
      </c>
      <c r="K205" s="111">
        <f t="shared" si="40"/>
        <v>0</v>
      </c>
      <c r="L205" s="111">
        <f t="shared" si="41"/>
        <v>0</v>
      </c>
      <c r="M205" s="143" t="str">
        <f t="shared" si="31"/>
        <v>LOTTT</v>
      </c>
      <c r="N205" s="108">
        <f t="shared" si="32"/>
        <v>0</v>
      </c>
      <c r="O205" s="321">
        <f t="shared" si="33"/>
        <v>0</v>
      </c>
      <c r="P205" s="322"/>
      <c r="Q205" s="321">
        <f t="shared" si="38"/>
        <v>0</v>
      </c>
      <c r="R205" s="173">
        <f>IF(ISNUMBER(VLOOKUP(E205,InteresPres!$B$2:$W$14,Prestaciones!C205-1997+2,0)),VLOOKUP(E205,InteresPres!$B$2:$W$14,Prestaciones!C205-1997+2,0),"0")/100</f>
        <v>0</v>
      </c>
      <c r="S205" s="323">
        <f t="shared" si="34"/>
        <v>0</v>
      </c>
      <c r="T205" s="323">
        <f t="shared" si="39"/>
        <v>0</v>
      </c>
      <c r="U205" s="5"/>
    </row>
    <row r="206" spans="2:21" x14ac:dyDescent="0.25">
      <c r="B206" s="4"/>
      <c r="C206" s="108">
        <f t="shared" ref="C206:C269" si="50">IF(D205=12,C205+1,C205)</f>
        <v>2027</v>
      </c>
      <c r="D206" s="109">
        <f t="shared" si="36"/>
        <v>3</v>
      </c>
      <c r="E206" s="110" t="str">
        <f>VLOOKUP(D206,FECHAS!$A$3:$B$14,2,0)</f>
        <v>Marzo</v>
      </c>
      <c r="F206" s="319"/>
      <c r="G206" s="108">
        <f t="shared" ref="G206:G269" si="51">IF(H205=11,G205+1,G205)</f>
        <v>16</v>
      </c>
      <c r="H206" s="108">
        <f t="shared" si="49"/>
        <v>0</v>
      </c>
      <c r="I206" s="111">
        <f t="shared" si="37"/>
        <v>30</v>
      </c>
      <c r="J206" s="111">
        <v>5</v>
      </c>
      <c r="K206" s="111">
        <f t="shared" ref="K206:K269" si="52">IF(OR(D206=7,D206=10,D206=1,D206=4),15,0)</f>
        <v>0</v>
      </c>
      <c r="L206" s="111">
        <f t="shared" ref="L206:L269" si="53">IF(AND(C206=2012,D206=6),-5,0)</f>
        <v>0</v>
      </c>
      <c r="M206" s="143" t="str">
        <f t="shared" ref="M206:M269" si="54">IF(OR(AND(C206&gt;=2012,D206&gt;=5),C206&gt;2012),"LOTTT","LOT")</f>
        <v>LOTTT</v>
      </c>
      <c r="N206" s="108">
        <f t="shared" ref="N206:N269" si="55">IF(M206="LOT",I206+J206,I206+K206)</f>
        <v>30</v>
      </c>
      <c r="O206" s="321">
        <f t="shared" ref="O206:O269" si="56">(F206/30)*N206</f>
        <v>0</v>
      </c>
      <c r="P206" s="322"/>
      <c r="Q206" s="321">
        <f t="shared" ref="Q206:Q269" si="57">IF(F206&gt;0,O206+Q205+P206,0)</f>
        <v>0</v>
      </c>
      <c r="R206" s="173">
        <f>IF(ISNUMBER(VLOOKUP(E206,InteresPres!$B$2:$W$14,Prestaciones!C206-1997+2,0)),VLOOKUP(E206,InteresPres!$B$2:$W$14,Prestaciones!C206-1997+2,0),"0")/100</f>
        <v>0</v>
      </c>
      <c r="S206" s="323">
        <f t="shared" ref="S206:S269" si="58">IF(F206&gt;0,(R206/12)*Q206,0)</f>
        <v>0</v>
      </c>
      <c r="T206" s="323">
        <f t="shared" ref="T206:T269" si="59">IF(F206&gt;0,S206+T205,0)</f>
        <v>0</v>
      </c>
      <c r="U206" s="5"/>
    </row>
    <row r="207" spans="2:21" x14ac:dyDescent="0.25">
      <c r="B207" s="4"/>
      <c r="C207" s="108">
        <f t="shared" si="50"/>
        <v>2027</v>
      </c>
      <c r="D207" s="109">
        <f t="shared" si="36"/>
        <v>4</v>
      </c>
      <c r="E207" s="110" t="str">
        <f>VLOOKUP(D207,FECHAS!$A$3:$B$14,2,0)</f>
        <v>Abril</v>
      </c>
      <c r="F207" s="319"/>
      <c r="G207" s="108">
        <f t="shared" si="51"/>
        <v>16</v>
      </c>
      <c r="H207" s="108">
        <f t="shared" si="49"/>
        <v>1</v>
      </c>
      <c r="I207" s="111">
        <f t="shared" si="37"/>
        <v>0</v>
      </c>
      <c r="J207" s="111">
        <v>5</v>
      </c>
      <c r="K207" s="111">
        <f t="shared" si="52"/>
        <v>15</v>
      </c>
      <c r="L207" s="111">
        <f t="shared" si="53"/>
        <v>0</v>
      </c>
      <c r="M207" s="143" t="str">
        <f t="shared" si="54"/>
        <v>LOTTT</v>
      </c>
      <c r="N207" s="108">
        <f t="shared" si="55"/>
        <v>15</v>
      </c>
      <c r="O207" s="321">
        <f t="shared" si="56"/>
        <v>0</v>
      </c>
      <c r="P207" s="322"/>
      <c r="Q207" s="321">
        <f t="shared" si="57"/>
        <v>0</v>
      </c>
      <c r="R207" s="173">
        <f>IF(ISNUMBER(VLOOKUP(E207,InteresPres!$B$2:$W$14,Prestaciones!C207-1997+2,0)),VLOOKUP(E207,InteresPres!$B$2:$W$14,Prestaciones!C207-1997+2,0),"0")/100</f>
        <v>0</v>
      </c>
      <c r="S207" s="323">
        <f t="shared" si="58"/>
        <v>0</v>
      </c>
      <c r="T207" s="323">
        <f t="shared" si="59"/>
        <v>0</v>
      </c>
      <c r="U207" s="5"/>
    </row>
    <row r="208" spans="2:21" x14ac:dyDescent="0.25">
      <c r="B208" s="4"/>
      <c r="C208" s="108">
        <f t="shared" si="50"/>
        <v>2027</v>
      </c>
      <c r="D208" s="109">
        <f t="shared" ref="D208:D271" si="60">IF(D207=12,1,D207+1)</f>
        <v>5</v>
      </c>
      <c r="E208" s="110" t="str">
        <f>VLOOKUP(D208,FECHAS!$A$3:$B$14,2,0)</f>
        <v>Mayo</v>
      </c>
      <c r="F208" s="319"/>
      <c r="G208" s="108">
        <f t="shared" si="51"/>
        <v>16</v>
      </c>
      <c r="H208" s="108">
        <f t="shared" si="49"/>
        <v>2</v>
      </c>
      <c r="I208" s="111">
        <f t="shared" ref="I208:I271" si="61">lottt192(G208,H207)</f>
        <v>0</v>
      </c>
      <c r="J208" s="111">
        <v>5</v>
      </c>
      <c r="K208" s="111">
        <f t="shared" si="52"/>
        <v>0</v>
      </c>
      <c r="L208" s="111">
        <f t="shared" si="53"/>
        <v>0</v>
      </c>
      <c r="M208" s="143" t="str">
        <f t="shared" si="54"/>
        <v>LOTTT</v>
      </c>
      <c r="N208" s="108">
        <f t="shared" si="55"/>
        <v>0</v>
      </c>
      <c r="O208" s="321">
        <f t="shared" si="56"/>
        <v>0</v>
      </c>
      <c r="P208" s="322"/>
      <c r="Q208" s="321">
        <f t="shared" si="57"/>
        <v>0</v>
      </c>
      <c r="R208" s="173">
        <f>IF(ISNUMBER(VLOOKUP(E208,InteresPres!$B$2:$W$14,Prestaciones!C208-1997+2,0)),VLOOKUP(E208,InteresPres!$B$2:$W$14,Prestaciones!C208-1997+2,0),"0")/100</f>
        <v>0</v>
      </c>
      <c r="S208" s="323">
        <f t="shared" si="58"/>
        <v>0</v>
      </c>
      <c r="T208" s="323">
        <f t="shared" si="59"/>
        <v>0</v>
      </c>
      <c r="U208" s="5"/>
    </row>
    <row r="209" spans="2:21" x14ac:dyDescent="0.25">
      <c r="B209" s="4"/>
      <c r="C209" s="108">
        <f t="shared" si="50"/>
        <v>2027</v>
      </c>
      <c r="D209" s="109">
        <f t="shared" si="60"/>
        <v>6</v>
      </c>
      <c r="E209" s="110" t="str">
        <f>VLOOKUP(D209,FECHAS!$A$3:$B$14,2,0)</f>
        <v>Junio</v>
      </c>
      <c r="F209" s="319"/>
      <c r="G209" s="108">
        <f t="shared" si="51"/>
        <v>16</v>
      </c>
      <c r="H209" s="108">
        <f t="shared" si="49"/>
        <v>3</v>
      </c>
      <c r="I209" s="111">
        <f t="shared" si="61"/>
        <v>0</v>
      </c>
      <c r="J209" s="111">
        <v>5</v>
      </c>
      <c r="K209" s="111">
        <f t="shared" si="52"/>
        <v>0</v>
      </c>
      <c r="L209" s="111">
        <f t="shared" si="53"/>
        <v>0</v>
      </c>
      <c r="M209" s="143" t="str">
        <f t="shared" si="54"/>
        <v>LOTTT</v>
      </c>
      <c r="N209" s="108">
        <f t="shared" si="55"/>
        <v>0</v>
      </c>
      <c r="O209" s="321">
        <f t="shared" si="56"/>
        <v>0</v>
      </c>
      <c r="P209" s="322"/>
      <c r="Q209" s="321">
        <f t="shared" si="57"/>
        <v>0</v>
      </c>
      <c r="R209" s="173">
        <f>IF(ISNUMBER(VLOOKUP(E209,InteresPres!$B$2:$W$14,Prestaciones!C209-1997+2,0)),VLOOKUP(E209,InteresPres!$B$2:$W$14,Prestaciones!C209-1997+2,0),"0")/100</f>
        <v>0</v>
      </c>
      <c r="S209" s="323">
        <f t="shared" si="58"/>
        <v>0</v>
      </c>
      <c r="T209" s="323">
        <f t="shared" si="59"/>
        <v>0</v>
      </c>
      <c r="U209" s="5"/>
    </row>
    <row r="210" spans="2:21" x14ac:dyDescent="0.25">
      <c r="B210" s="4"/>
      <c r="C210" s="108">
        <f t="shared" si="50"/>
        <v>2027</v>
      </c>
      <c r="D210" s="109">
        <f t="shared" si="60"/>
        <v>7</v>
      </c>
      <c r="E210" s="110" t="str">
        <f>VLOOKUP(D210,FECHAS!$A$3:$B$14,2,0)</f>
        <v>Julio</v>
      </c>
      <c r="F210" s="319"/>
      <c r="G210" s="108">
        <f t="shared" si="51"/>
        <v>16</v>
      </c>
      <c r="H210" s="108">
        <f t="shared" si="49"/>
        <v>4</v>
      </c>
      <c r="I210" s="111">
        <f t="shared" si="61"/>
        <v>0</v>
      </c>
      <c r="J210" s="111">
        <v>5</v>
      </c>
      <c r="K210" s="111">
        <f t="shared" si="52"/>
        <v>15</v>
      </c>
      <c r="L210" s="111">
        <f t="shared" si="53"/>
        <v>0</v>
      </c>
      <c r="M210" s="143" t="str">
        <f t="shared" si="54"/>
        <v>LOTTT</v>
      </c>
      <c r="N210" s="108">
        <f t="shared" si="55"/>
        <v>15</v>
      </c>
      <c r="O210" s="321">
        <f t="shared" si="56"/>
        <v>0</v>
      </c>
      <c r="P210" s="322"/>
      <c r="Q210" s="321">
        <f t="shared" si="57"/>
        <v>0</v>
      </c>
      <c r="R210" s="173">
        <f>IF(ISNUMBER(VLOOKUP(E210,InteresPres!$B$2:$W$14,Prestaciones!C210-1997+2,0)),VLOOKUP(E210,InteresPres!$B$2:$W$14,Prestaciones!C210-1997+2,0),"0")/100</f>
        <v>0</v>
      </c>
      <c r="S210" s="323">
        <f t="shared" si="58"/>
        <v>0</v>
      </c>
      <c r="T210" s="323">
        <f t="shared" si="59"/>
        <v>0</v>
      </c>
      <c r="U210" s="5"/>
    </row>
    <row r="211" spans="2:21" x14ac:dyDescent="0.25">
      <c r="B211" s="4"/>
      <c r="C211" s="108">
        <f t="shared" si="50"/>
        <v>2027</v>
      </c>
      <c r="D211" s="109">
        <f t="shared" si="60"/>
        <v>8</v>
      </c>
      <c r="E211" s="110" t="str">
        <f>VLOOKUP(D211,FECHAS!$A$3:$B$14,2,0)</f>
        <v>Agosto</v>
      </c>
      <c r="F211" s="319"/>
      <c r="G211" s="108">
        <f t="shared" si="51"/>
        <v>16</v>
      </c>
      <c r="H211" s="108">
        <f t="shared" si="49"/>
        <v>5</v>
      </c>
      <c r="I211" s="111">
        <f t="shared" si="61"/>
        <v>0</v>
      </c>
      <c r="J211" s="111">
        <v>5</v>
      </c>
      <c r="K211" s="111">
        <f t="shared" si="52"/>
        <v>0</v>
      </c>
      <c r="L211" s="111">
        <f t="shared" si="53"/>
        <v>0</v>
      </c>
      <c r="M211" s="143" t="str">
        <f t="shared" si="54"/>
        <v>LOTTT</v>
      </c>
      <c r="N211" s="108">
        <f t="shared" si="55"/>
        <v>0</v>
      </c>
      <c r="O211" s="321">
        <f t="shared" si="56"/>
        <v>0</v>
      </c>
      <c r="P211" s="322"/>
      <c r="Q211" s="321">
        <f t="shared" si="57"/>
        <v>0</v>
      </c>
      <c r="R211" s="173">
        <f>IF(ISNUMBER(VLOOKUP(E211,InteresPres!$B$2:$W$14,Prestaciones!C211-1997+2,0)),VLOOKUP(E211,InteresPres!$B$2:$W$14,Prestaciones!C211-1997+2,0),"0")/100</f>
        <v>0</v>
      </c>
      <c r="S211" s="323">
        <f t="shared" si="58"/>
        <v>0</v>
      </c>
      <c r="T211" s="323">
        <f t="shared" si="59"/>
        <v>0</v>
      </c>
      <c r="U211" s="5"/>
    </row>
    <row r="212" spans="2:21" x14ac:dyDescent="0.25">
      <c r="B212" s="4"/>
      <c r="C212" s="108">
        <f t="shared" si="50"/>
        <v>2027</v>
      </c>
      <c r="D212" s="109">
        <f t="shared" si="60"/>
        <v>9</v>
      </c>
      <c r="E212" s="110" t="str">
        <f>VLOOKUP(D212,FECHAS!$A$3:$B$14,2,0)</f>
        <v>Septiembre</v>
      </c>
      <c r="F212" s="319"/>
      <c r="G212" s="108">
        <f t="shared" si="51"/>
        <v>16</v>
      </c>
      <c r="H212" s="108">
        <f t="shared" si="49"/>
        <v>6</v>
      </c>
      <c r="I212" s="111">
        <f t="shared" si="61"/>
        <v>0</v>
      </c>
      <c r="J212" s="111">
        <v>5</v>
      </c>
      <c r="K212" s="111">
        <f t="shared" si="52"/>
        <v>0</v>
      </c>
      <c r="L212" s="111">
        <f t="shared" si="53"/>
        <v>0</v>
      </c>
      <c r="M212" s="143" t="str">
        <f t="shared" si="54"/>
        <v>LOTTT</v>
      </c>
      <c r="N212" s="108">
        <f t="shared" si="55"/>
        <v>0</v>
      </c>
      <c r="O212" s="321">
        <f t="shared" si="56"/>
        <v>0</v>
      </c>
      <c r="P212" s="322"/>
      <c r="Q212" s="321">
        <f t="shared" si="57"/>
        <v>0</v>
      </c>
      <c r="R212" s="173">
        <f>IF(ISNUMBER(VLOOKUP(E212,InteresPres!$B$2:$W$14,Prestaciones!C212-1997+2,0)),VLOOKUP(E212,InteresPres!$B$2:$W$14,Prestaciones!C212-1997+2,0),"0")/100</f>
        <v>0</v>
      </c>
      <c r="S212" s="323">
        <f t="shared" si="58"/>
        <v>0</v>
      </c>
      <c r="T212" s="323">
        <f t="shared" si="59"/>
        <v>0</v>
      </c>
      <c r="U212" s="5"/>
    </row>
    <row r="213" spans="2:21" x14ac:dyDescent="0.25">
      <c r="B213" s="4"/>
      <c r="C213" s="108">
        <f t="shared" si="50"/>
        <v>2027</v>
      </c>
      <c r="D213" s="109">
        <f t="shared" si="60"/>
        <v>10</v>
      </c>
      <c r="E213" s="110" t="str">
        <f>VLOOKUP(D213,FECHAS!$A$3:$B$14,2,0)</f>
        <v>Octubre</v>
      </c>
      <c r="F213" s="319"/>
      <c r="G213" s="108">
        <f t="shared" si="51"/>
        <v>16</v>
      </c>
      <c r="H213" s="108">
        <f t="shared" si="49"/>
        <v>7</v>
      </c>
      <c r="I213" s="111">
        <f t="shared" si="61"/>
        <v>0</v>
      </c>
      <c r="J213" s="111">
        <v>5</v>
      </c>
      <c r="K213" s="111">
        <f t="shared" si="52"/>
        <v>15</v>
      </c>
      <c r="L213" s="111">
        <f t="shared" si="53"/>
        <v>0</v>
      </c>
      <c r="M213" s="143" t="str">
        <f t="shared" si="54"/>
        <v>LOTTT</v>
      </c>
      <c r="N213" s="108">
        <f t="shared" si="55"/>
        <v>15</v>
      </c>
      <c r="O213" s="321">
        <f t="shared" si="56"/>
        <v>0</v>
      </c>
      <c r="P213" s="322"/>
      <c r="Q213" s="321">
        <f t="shared" si="57"/>
        <v>0</v>
      </c>
      <c r="R213" s="173">
        <f>IF(ISNUMBER(VLOOKUP(E213,InteresPres!$B$2:$W$14,Prestaciones!C213-1997+2,0)),VLOOKUP(E213,InteresPres!$B$2:$W$14,Prestaciones!C213-1997+2,0),"0")/100</f>
        <v>0</v>
      </c>
      <c r="S213" s="323">
        <f t="shared" si="58"/>
        <v>0</v>
      </c>
      <c r="T213" s="323">
        <f t="shared" si="59"/>
        <v>0</v>
      </c>
      <c r="U213" s="5"/>
    </row>
    <row r="214" spans="2:21" x14ac:dyDescent="0.25">
      <c r="B214" s="4"/>
      <c r="C214" s="108">
        <f t="shared" si="50"/>
        <v>2027</v>
      </c>
      <c r="D214" s="109">
        <f t="shared" si="60"/>
        <v>11</v>
      </c>
      <c r="E214" s="110" t="str">
        <f>VLOOKUP(D214,FECHAS!$A$3:$B$14,2,0)</f>
        <v>Noviembre</v>
      </c>
      <c r="F214" s="319"/>
      <c r="G214" s="108">
        <f t="shared" si="51"/>
        <v>16</v>
      </c>
      <c r="H214" s="108">
        <f t="shared" si="49"/>
        <v>8</v>
      </c>
      <c r="I214" s="111">
        <f t="shared" si="61"/>
        <v>0</v>
      </c>
      <c r="J214" s="111">
        <v>5</v>
      </c>
      <c r="K214" s="111">
        <f t="shared" si="52"/>
        <v>0</v>
      </c>
      <c r="L214" s="111">
        <f t="shared" si="53"/>
        <v>0</v>
      </c>
      <c r="M214" s="143" t="str">
        <f t="shared" si="54"/>
        <v>LOTTT</v>
      </c>
      <c r="N214" s="108">
        <f t="shared" si="55"/>
        <v>0</v>
      </c>
      <c r="O214" s="321">
        <f t="shared" si="56"/>
        <v>0</v>
      </c>
      <c r="P214" s="322"/>
      <c r="Q214" s="321">
        <f t="shared" si="57"/>
        <v>0</v>
      </c>
      <c r="R214" s="173">
        <f>IF(ISNUMBER(VLOOKUP(E214,InteresPres!$B$2:$W$14,Prestaciones!C214-1997+2,0)),VLOOKUP(E214,InteresPres!$B$2:$W$14,Prestaciones!C214-1997+2,0),"0")/100</f>
        <v>0</v>
      </c>
      <c r="S214" s="323">
        <f t="shared" si="58"/>
        <v>0</v>
      </c>
      <c r="T214" s="323">
        <f t="shared" si="59"/>
        <v>0</v>
      </c>
      <c r="U214" s="5"/>
    </row>
    <row r="215" spans="2:21" x14ac:dyDescent="0.25">
      <c r="B215" s="4"/>
      <c r="C215" s="108">
        <f t="shared" si="50"/>
        <v>2027</v>
      </c>
      <c r="D215" s="109">
        <f t="shared" si="60"/>
        <v>12</v>
      </c>
      <c r="E215" s="110" t="str">
        <f>VLOOKUP(D215,FECHAS!$A$3:$B$14,2,0)</f>
        <v>Diciembre</v>
      </c>
      <c r="F215" s="319"/>
      <c r="G215" s="108">
        <f t="shared" si="51"/>
        <v>16</v>
      </c>
      <c r="H215" s="108">
        <f t="shared" si="49"/>
        <v>9</v>
      </c>
      <c r="I215" s="111">
        <f t="shared" si="61"/>
        <v>0</v>
      </c>
      <c r="J215" s="111">
        <v>5</v>
      </c>
      <c r="K215" s="111">
        <f t="shared" si="52"/>
        <v>0</v>
      </c>
      <c r="L215" s="111">
        <f t="shared" si="53"/>
        <v>0</v>
      </c>
      <c r="M215" s="143" t="str">
        <f t="shared" si="54"/>
        <v>LOTTT</v>
      </c>
      <c r="N215" s="108">
        <f t="shared" si="55"/>
        <v>0</v>
      </c>
      <c r="O215" s="321">
        <f t="shared" si="56"/>
        <v>0</v>
      </c>
      <c r="P215" s="322"/>
      <c r="Q215" s="321">
        <f t="shared" si="57"/>
        <v>0</v>
      </c>
      <c r="R215" s="173">
        <f>IF(ISNUMBER(VLOOKUP(E215,InteresPres!$B$2:$W$14,Prestaciones!C215-1997+2,0)),VLOOKUP(E215,InteresPres!$B$2:$W$14,Prestaciones!C215-1997+2,0),"0")/100</f>
        <v>0</v>
      </c>
      <c r="S215" s="323">
        <f t="shared" si="58"/>
        <v>0</v>
      </c>
      <c r="T215" s="323">
        <f t="shared" si="59"/>
        <v>0</v>
      </c>
      <c r="U215" s="5"/>
    </row>
    <row r="216" spans="2:21" x14ac:dyDescent="0.25">
      <c r="B216" s="4"/>
      <c r="C216" s="108">
        <f t="shared" si="50"/>
        <v>2028</v>
      </c>
      <c r="D216" s="109">
        <f t="shared" si="60"/>
        <v>1</v>
      </c>
      <c r="E216" s="110" t="str">
        <f>VLOOKUP(D216,FECHAS!$A$3:$B$14,2,0)</f>
        <v>Enero</v>
      </c>
      <c r="F216" s="319"/>
      <c r="G216" s="108">
        <f t="shared" si="51"/>
        <v>16</v>
      </c>
      <c r="H216" s="108">
        <f t="shared" si="49"/>
        <v>10</v>
      </c>
      <c r="I216" s="111">
        <f t="shared" si="61"/>
        <v>0</v>
      </c>
      <c r="J216" s="111">
        <v>5</v>
      </c>
      <c r="K216" s="111">
        <f t="shared" si="52"/>
        <v>15</v>
      </c>
      <c r="L216" s="111">
        <f t="shared" si="53"/>
        <v>0</v>
      </c>
      <c r="M216" s="143" t="str">
        <f t="shared" si="54"/>
        <v>LOTTT</v>
      </c>
      <c r="N216" s="108">
        <f t="shared" si="55"/>
        <v>15</v>
      </c>
      <c r="O216" s="321">
        <f t="shared" si="56"/>
        <v>0</v>
      </c>
      <c r="P216" s="322"/>
      <c r="Q216" s="321">
        <f t="shared" si="57"/>
        <v>0</v>
      </c>
      <c r="R216" s="173">
        <f>IF(ISNUMBER(VLOOKUP(E216,InteresPres!$B$2:$W$14,Prestaciones!C216-1997+2,0)),VLOOKUP(E216,InteresPres!$B$2:$W$14,Prestaciones!C216-1997+2,0),"0")/100</f>
        <v>0</v>
      </c>
      <c r="S216" s="323">
        <f t="shared" si="58"/>
        <v>0</v>
      </c>
      <c r="T216" s="323">
        <f t="shared" si="59"/>
        <v>0</v>
      </c>
      <c r="U216" s="5"/>
    </row>
    <row r="217" spans="2:21" x14ac:dyDescent="0.25">
      <c r="B217" s="4"/>
      <c r="C217" s="108">
        <f t="shared" si="50"/>
        <v>2028</v>
      </c>
      <c r="D217" s="109">
        <f t="shared" si="60"/>
        <v>2</v>
      </c>
      <c r="E217" s="110" t="str">
        <f>VLOOKUP(D217,FECHAS!$A$3:$B$14,2,0)</f>
        <v>Febrero</v>
      </c>
      <c r="F217" s="319"/>
      <c r="G217" s="108">
        <f t="shared" si="51"/>
        <v>16</v>
      </c>
      <c r="H217" s="108">
        <f t="shared" si="49"/>
        <v>11</v>
      </c>
      <c r="I217" s="111">
        <f t="shared" si="61"/>
        <v>0</v>
      </c>
      <c r="J217" s="111">
        <v>5</v>
      </c>
      <c r="K217" s="111">
        <f t="shared" si="52"/>
        <v>0</v>
      </c>
      <c r="L217" s="111">
        <f t="shared" si="53"/>
        <v>0</v>
      </c>
      <c r="M217" s="143" t="str">
        <f t="shared" si="54"/>
        <v>LOTTT</v>
      </c>
      <c r="N217" s="108">
        <f t="shared" si="55"/>
        <v>0</v>
      </c>
      <c r="O217" s="321">
        <f t="shared" si="56"/>
        <v>0</v>
      </c>
      <c r="P217" s="322"/>
      <c r="Q217" s="321">
        <f t="shared" si="57"/>
        <v>0</v>
      </c>
      <c r="R217" s="173">
        <f>IF(ISNUMBER(VLOOKUP(E217,InteresPres!$B$2:$W$14,Prestaciones!C217-1997+2,0)),VLOOKUP(E217,InteresPres!$B$2:$W$14,Prestaciones!C217-1997+2,0),"0")/100</f>
        <v>0</v>
      </c>
      <c r="S217" s="323">
        <f t="shared" si="58"/>
        <v>0</v>
      </c>
      <c r="T217" s="323">
        <f t="shared" si="59"/>
        <v>0</v>
      </c>
      <c r="U217" s="5"/>
    </row>
    <row r="218" spans="2:21" x14ac:dyDescent="0.25">
      <c r="B218" s="4"/>
      <c r="C218" s="108">
        <f t="shared" si="50"/>
        <v>2028</v>
      </c>
      <c r="D218" s="109">
        <f t="shared" si="60"/>
        <v>3</v>
      </c>
      <c r="E218" s="110" t="str">
        <f>VLOOKUP(D218,FECHAS!$A$3:$B$14,2,0)</f>
        <v>Marzo</v>
      </c>
      <c r="F218" s="319"/>
      <c r="G218" s="108">
        <f t="shared" si="51"/>
        <v>17</v>
      </c>
      <c r="H218" s="108">
        <f t="shared" si="49"/>
        <v>0</v>
      </c>
      <c r="I218" s="111">
        <f t="shared" si="61"/>
        <v>30</v>
      </c>
      <c r="J218" s="111">
        <v>5</v>
      </c>
      <c r="K218" s="111">
        <f t="shared" si="52"/>
        <v>0</v>
      </c>
      <c r="L218" s="111">
        <f t="shared" si="53"/>
        <v>0</v>
      </c>
      <c r="M218" s="143" t="str">
        <f t="shared" si="54"/>
        <v>LOTTT</v>
      </c>
      <c r="N218" s="108">
        <f t="shared" si="55"/>
        <v>30</v>
      </c>
      <c r="O218" s="321">
        <f t="shared" si="56"/>
        <v>0</v>
      </c>
      <c r="P218" s="322"/>
      <c r="Q218" s="321">
        <f t="shared" si="57"/>
        <v>0</v>
      </c>
      <c r="R218" s="173">
        <f>IF(ISNUMBER(VLOOKUP(E218,InteresPres!$B$2:$W$14,Prestaciones!C218-1997+2,0)),VLOOKUP(E218,InteresPres!$B$2:$W$14,Prestaciones!C218-1997+2,0),"0")/100</f>
        <v>0</v>
      </c>
      <c r="S218" s="323">
        <f t="shared" si="58"/>
        <v>0</v>
      </c>
      <c r="T218" s="323">
        <f t="shared" si="59"/>
        <v>0</v>
      </c>
      <c r="U218" s="5"/>
    </row>
    <row r="219" spans="2:21" x14ac:dyDescent="0.25">
      <c r="B219" s="4"/>
      <c r="C219" s="108">
        <f t="shared" si="50"/>
        <v>2028</v>
      </c>
      <c r="D219" s="109">
        <f t="shared" si="60"/>
        <v>4</v>
      </c>
      <c r="E219" s="110" t="str">
        <f>VLOOKUP(D219,FECHAS!$A$3:$B$14,2,0)</f>
        <v>Abril</v>
      </c>
      <c r="F219" s="319"/>
      <c r="G219" s="108">
        <f t="shared" si="51"/>
        <v>17</v>
      </c>
      <c r="H219" s="108">
        <f t="shared" si="49"/>
        <v>1</v>
      </c>
      <c r="I219" s="111">
        <f t="shared" si="61"/>
        <v>0</v>
      </c>
      <c r="J219" s="111">
        <v>5</v>
      </c>
      <c r="K219" s="111">
        <f t="shared" si="52"/>
        <v>15</v>
      </c>
      <c r="L219" s="111">
        <f t="shared" si="53"/>
        <v>0</v>
      </c>
      <c r="M219" s="143" t="str">
        <f t="shared" si="54"/>
        <v>LOTTT</v>
      </c>
      <c r="N219" s="108">
        <f t="shared" si="55"/>
        <v>15</v>
      </c>
      <c r="O219" s="321">
        <f t="shared" si="56"/>
        <v>0</v>
      </c>
      <c r="P219" s="322"/>
      <c r="Q219" s="321">
        <f t="shared" si="57"/>
        <v>0</v>
      </c>
      <c r="R219" s="173">
        <f>IF(ISNUMBER(VLOOKUP(E219,InteresPres!$B$2:$W$14,Prestaciones!C219-1997+2,0)),VLOOKUP(E219,InteresPres!$B$2:$W$14,Prestaciones!C219-1997+2,0),"0")/100</f>
        <v>0</v>
      </c>
      <c r="S219" s="323">
        <f t="shared" si="58"/>
        <v>0</v>
      </c>
      <c r="T219" s="323">
        <f t="shared" si="59"/>
        <v>0</v>
      </c>
      <c r="U219" s="5"/>
    </row>
    <row r="220" spans="2:21" x14ac:dyDescent="0.25">
      <c r="B220" s="4"/>
      <c r="C220" s="108">
        <f t="shared" si="50"/>
        <v>2028</v>
      </c>
      <c r="D220" s="109">
        <f t="shared" si="60"/>
        <v>5</v>
      </c>
      <c r="E220" s="110" t="str">
        <f>VLOOKUP(D220,FECHAS!$A$3:$B$14,2,0)</f>
        <v>Mayo</v>
      </c>
      <c r="F220" s="319"/>
      <c r="G220" s="108">
        <f t="shared" si="51"/>
        <v>17</v>
      </c>
      <c r="H220" s="108">
        <f t="shared" si="49"/>
        <v>2</v>
      </c>
      <c r="I220" s="111">
        <f t="shared" si="61"/>
        <v>0</v>
      </c>
      <c r="J220" s="111">
        <v>5</v>
      </c>
      <c r="K220" s="111">
        <f t="shared" si="52"/>
        <v>0</v>
      </c>
      <c r="L220" s="111">
        <f t="shared" si="53"/>
        <v>0</v>
      </c>
      <c r="M220" s="143" t="str">
        <f t="shared" si="54"/>
        <v>LOTTT</v>
      </c>
      <c r="N220" s="108">
        <f t="shared" si="55"/>
        <v>0</v>
      </c>
      <c r="O220" s="321">
        <f t="shared" si="56"/>
        <v>0</v>
      </c>
      <c r="P220" s="322"/>
      <c r="Q220" s="321">
        <f t="shared" si="57"/>
        <v>0</v>
      </c>
      <c r="R220" s="173">
        <f>IF(ISNUMBER(VLOOKUP(E220,InteresPres!$B$2:$W$14,Prestaciones!C220-1997+2,0)),VLOOKUP(E220,InteresPres!$B$2:$W$14,Prestaciones!C220-1997+2,0),"0")/100</f>
        <v>0</v>
      </c>
      <c r="S220" s="323">
        <f t="shared" si="58"/>
        <v>0</v>
      </c>
      <c r="T220" s="323">
        <f t="shared" si="59"/>
        <v>0</v>
      </c>
      <c r="U220" s="5"/>
    </row>
    <row r="221" spans="2:21" x14ac:dyDescent="0.25">
      <c r="B221" s="4"/>
      <c r="C221" s="108">
        <f t="shared" si="50"/>
        <v>2028</v>
      </c>
      <c r="D221" s="109">
        <f t="shared" si="60"/>
        <v>6</v>
      </c>
      <c r="E221" s="110" t="str">
        <f>VLOOKUP(D221,FECHAS!$A$3:$B$14,2,0)</f>
        <v>Junio</v>
      </c>
      <c r="F221" s="319"/>
      <c r="G221" s="108">
        <f t="shared" si="51"/>
        <v>17</v>
      </c>
      <c r="H221" s="108">
        <f t="shared" si="49"/>
        <v>3</v>
      </c>
      <c r="I221" s="111">
        <f t="shared" si="61"/>
        <v>0</v>
      </c>
      <c r="J221" s="111">
        <v>5</v>
      </c>
      <c r="K221" s="111">
        <f t="shared" si="52"/>
        <v>0</v>
      </c>
      <c r="L221" s="111">
        <f t="shared" si="53"/>
        <v>0</v>
      </c>
      <c r="M221" s="143" t="str">
        <f t="shared" si="54"/>
        <v>LOTTT</v>
      </c>
      <c r="N221" s="108">
        <f t="shared" si="55"/>
        <v>0</v>
      </c>
      <c r="O221" s="321">
        <f t="shared" si="56"/>
        <v>0</v>
      </c>
      <c r="P221" s="322"/>
      <c r="Q221" s="321">
        <f t="shared" si="57"/>
        <v>0</v>
      </c>
      <c r="R221" s="173">
        <f>IF(ISNUMBER(VLOOKUP(E221,InteresPres!$B$2:$W$14,Prestaciones!C221-1997+2,0)),VLOOKUP(E221,InteresPres!$B$2:$W$14,Prestaciones!C221-1997+2,0),"0")/100</f>
        <v>0</v>
      </c>
      <c r="S221" s="323">
        <f t="shared" si="58"/>
        <v>0</v>
      </c>
      <c r="T221" s="323">
        <f t="shared" si="59"/>
        <v>0</v>
      </c>
      <c r="U221" s="5"/>
    </row>
    <row r="222" spans="2:21" x14ac:dyDescent="0.25">
      <c r="B222" s="4"/>
      <c r="C222" s="108">
        <f t="shared" si="50"/>
        <v>2028</v>
      </c>
      <c r="D222" s="109">
        <f t="shared" si="60"/>
        <v>7</v>
      </c>
      <c r="E222" s="110" t="str">
        <f>VLOOKUP(D222,FECHAS!$A$3:$B$14,2,0)</f>
        <v>Julio</v>
      </c>
      <c r="F222" s="319"/>
      <c r="G222" s="108">
        <f t="shared" si="51"/>
        <v>17</v>
      </c>
      <c r="H222" s="108">
        <f t="shared" si="49"/>
        <v>4</v>
      </c>
      <c r="I222" s="111">
        <f t="shared" si="61"/>
        <v>0</v>
      </c>
      <c r="J222" s="111">
        <v>5</v>
      </c>
      <c r="K222" s="111">
        <f t="shared" si="52"/>
        <v>15</v>
      </c>
      <c r="L222" s="111">
        <f t="shared" si="53"/>
        <v>0</v>
      </c>
      <c r="M222" s="143" t="str">
        <f t="shared" si="54"/>
        <v>LOTTT</v>
      </c>
      <c r="N222" s="108">
        <f t="shared" si="55"/>
        <v>15</v>
      </c>
      <c r="O222" s="321">
        <f t="shared" si="56"/>
        <v>0</v>
      </c>
      <c r="P222" s="322"/>
      <c r="Q222" s="321">
        <f t="shared" si="57"/>
        <v>0</v>
      </c>
      <c r="R222" s="173">
        <f>IF(ISNUMBER(VLOOKUP(E222,InteresPres!$B$2:$W$14,Prestaciones!C222-1997+2,0)),VLOOKUP(E222,InteresPres!$B$2:$W$14,Prestaciones!C222-1997+2,0),"0")/100</f>
        <v>0</v>
      </c>
      <c r="S222" s="323">
        <f t="shared" si="58"/>
        <v>0</v>
      </c>
      <c r="T222" s="323">
        <f t="shared" si="59"/>
        <v>0</v>
      </c>
      <c r="U222" s="5"/>
    </row>
    <row r="223" spans="2:21" x14ac:dyDescent="0.25">
      <c r="B223" s="4"/>
      <c r="C223" s="108">
        <f t="shared" si="50"/>
        <v>2028</v>
      </c>
      <c r="D223" s="109">
        <f t="shared" si="60"/>
        <v>8</v>
      </c>
      <c r="E223" s="110" t="str">
        <f>VLOOKUP(D223,FECHAS!$A$3:$B$14,2,0)</f>
        <v>Agosto</v>
      </c>
      <c r="F223" s="319"/>
      <c r="G223" s="108">
        <f t="shared" si="51"/>
        <v>17</v>
      </c>
      <c r="H223" s="108">
        <f t="shared" si="49"/>
        <v>5</v>
      </c>
      <c r="I223" s="111">
        <f t="shared" si="61"/>
        <v>0</v>
      </c>
      <c r="J223" s="111">
        <v>5</v>
      </c>
      <c r="K223" s="111">
        <f t="shared" si="52"/>
        <v>0</v>
      </c>
      <c r="L223" s="111">
        <f t="shared" si="53"/>
        <v>0</v>
      </c>
      <c r="M223" s="143" t="str">
        <f t="shared" si="54"/>
        <v>LOTTT</v>
      </c>
      <c r="N223" s="108">
        <f t="shared" si="55"/>
        <v>0</v>
      </c>
      <c r="O223" s="321">
        <f t="shared" si="56"/>
        <v>0</v>
      </c>
      <c r="P223" s="322"/>
      <c r="Q223" s="321">
        <f t="shared" si="57"/>
        <v>0</v>
      </c>
      <c r="R223" s="173">
        <f>IF(ISNUMBER(VLOOKUP(E223,InteresPres!$B$2:$W$14,Prestaciones!C223-1997+2,0)),VLOOKUP(E223,InteresPres!$B$2:$W$14,Prestaciones!C223-1997+2,0),"0")/100</f>
        <v>0</v>
      </c>
      <c r="S223" s="323">
        <f t="shared" si="58"/>
        <v>0</v>
      </c>
      <c r="T223" s="323">
        <f t="shared" si="59"/>
        <v>0</v>
      </c>
      <c r="U223" s="5"/>
    </row>
    <row r="224" spans="2:21" x14ac:dyDescent="0.25">
      <c r="B224" s="4"/>
      <c r="C224" s="108">
        <f t="shared" si="50"/>
        <v>2028</v>
      </c>
      <c r="D224" s="109">
        <f t="shared" si="60"/>
        <v>9</v>
      </c>
      <c r="E224" s="110" t="str">
        <f>VLOOKUP(D224,FECHAS!$A$3:$B$14,2,0)</f>
        <v>Septiembre</v>
      </c>
      <c r="F224" s="319"/>
      <c r="G224" s="108">
        <f t="shared" si="51"/>
        <v>17</v>
      </c>
      <c r="H224" s="108">
        <f t="shared" si="49"/>
        <v>6</v>
      </c>
      <c r="I224" s="111">
        <f t="shared" si="61"/>
        <v>0</v>
      </c>
      <c r="J224" s="111">
        <v>5</v>
      </c>
      <c r="K224" s="111">
        <f t="shared" si="52"/>
        <v>0</v>
      </c>
      <c r="L224" s="111">
        <f t="shared" si="53"/>
        <v>0</v>
      </c>
      <c r="M224" s="143" t="str">
        <f t="shared" si="54"/>
        <v>LOTTT</v>
      </c>
      <c r="N224" s="108">
        <f t="shared" si="55"/>
        <v>0</v>
      </c>
      <c r="O224" s="321">
        <f t="shared" si="56"/>
        <v>0</v>
      </c>
      <c r="P224" s="322"/>
      <c r="Q224" s="321">
        <f t="shared" si="57"/>
        <v>0</v>
      </c>
      <c r="R224" s="173">
        <f>IF(ISNUMBER(VLOOKUP(E224,InteresPres!$B$2:$W$14,Prestaciones!C224-1997+2,0)),VLOOKUP(E224,InteresPres!$B$2:$W$14,Prestaciones!C224-1997+2,0),"0")/100</f>
        <v>0</v>
      </c>
      <c r="S224" s="323">
        <f t="shared" si="58"/>
        <v>0</v>
      </c>
      <c r="T224" s="323">
        <f t="shared" si="59"/>
        <v>0</v>
      </c>
      <c r="U224" s="5"/>
    </row>
    <row r="225" spans="2:21" x14ac:dyDescent="0.25">
      <c r="B225" s="4"/>
      <c r="C225" s="108">
        <f t="shared" si="50"/>
        <v>2028</v>
      </c>
      <c r="D225" s="109">
        <f t="shared" si="60"/>
        <v>10</v>
      </c>
      <c r="E225" s="110" t="str">
        <f>VLOOKUP(D225,FECHAS!$A$3:$B$14,2,0)</f>
        <v>Octubre</v>
      </c>
      <c r="F225" s="319"/>
      <c r="G225" s="108">
        <f t="shared" si="51"/>
        <v>17</v>
      </c>
      <c r="H225" s="108">
        <f t="shared" si="49"/>
        <v>7</v>
      </c>
      <c r="I225" s="111">
        <f t="shared" si="61"/>
        <v>0</v>
      </c>
      <c r="J225" s="111">
        <v>5</v>
      </c>
      <c r="K225" s="111">
        <f t="shared" si="52"/>
        <v>15</v>
      </c>
      <c r="L225" s="111">
        <f t="shared" si="53"/>
        <v>0</v>
      </c>
      <c r="M225" s="143" t="str">
        <f t="shared" si="54"/>
        <v>LOTTT</v>
      </c>
      <c r="N225" s="108">
        <f t="shared" si="55"/>
        <v>15</v>
      </c>
      <c r="O225" s="321">
        <f t="shared" si="56"/>
        <v>0</v>
      </c>
      <c r="P225" s="322"/>
      <c r="Q225" s="321">
        <f t="shared" si="57"/>
        <v>0</v>
      </c>
      <c r="R225" s="173">
        <f>IF(ISNUMBER(VLOOKUP(E225,InteresPres!$B$2:$W$14,Prestaciones!C225-1997+2,0)),VLOOKUP(E225,InteresPres!$B$2:$W$14,Prestaciones!C225-1997+2,0),"0")/100</f>
        <v>0</v>
      </c>
      <c r="S225" s="323">
        <f t="shared" si="58"/>
        <v>0</v>
      </c>
      <c r="T225" s="323">
        <f t="shared" si="59"/>
        <v>0</v>
      </c>
      <c r="U225" s="5"/>
    </row>
    <row r="226" spans="2:21" x14ac:dyDescent="0.25">
      <c r="B226" s="4"/>
      <c r="C226" s="108">
        <f t="shared" si="50"/>
        <v>2028</v>
      </c>
      <c r="D226" s="109">
        <f t="shared" si="60"/>
        <v>11</v>
      </c>
      <c r="E226" s="110" t="str">
        <f>VLOOKUP(D226,FECHAS!$A$3:$B$14,2,0)</f>
        <v>Noviembre</v>
      </c>
      <c r="F226" s="319"/>
      <c r="G226" s="108">
        <f t="shared" si="51"/>
        <v>17</v>
      </c>
      <c r="H226" s="108">
        <f t="shared" si="49"/>
        <v>8</v>
      </c>
      <c r="I226" s="111">
        <f t="shared" si="61"/>
        <v>0</v>
      </c>
      <c r="J226" s="111">
        <v>5</v>
      </c>
      <c r="K226" s="111">
        <f t="shared" si="52"/>
        <v>0</v>
      </c>
      <c r="L226" s="111">
        <f t="shared" si="53"/>
        <v>0</v>
      </c>
      <c r="M226" s="143" t="str">
        <f t="shared" si="54"/>
        <v>LOTTT</v>
      </c>
      <c r="N226" s="108">
        <f t="shared" si="55"/>
        <v>0</v>
      </c>
      <c r="O226" s="321">
        <f t="shared" si="56"/>
        <v>0</v>
      </c>
      <c r="P226" s="322"/>
      <c r="Q226" s="321">
        <f t="shared" si="57"/>
        <v>0</v>
      </c>
      <c r="R226" s="173">
        <f>IF(ISNUMBER(VLOOKUP(E226,InteresPres!$B$2:$W$14,Prestaciones!C226-1997+2,0)),VLOOKUP(E226,InteresPres!$B$2:$W$14,Prestaciones!C226-1997+2,0),"0")/100</f>
        <v>0</v>
      </c>
      <c r="S226" s="323">
        <f t="shared" si="58"/>
        <v>0</v>
      </c>
      <c r="T226" s="323">
        <f t="shared" si="59"/>
        <v>0</v>
      </c>
      <c r="U226" s="5"/>
    </row>
    <row r="227" spans="2:21" x14ac:dyDescent="0.25">
      <c r="B227" s="4"/>
      <c r="C227" s="108">
        <f t="shared" si="50"/>
        <v>2028</v>
      </c>
      <c r="D227" s="109">
        <f t="shared" si="60"/>
        <v>12</v>
      </c>
      <c r="E227" s="110" t="str">
        <f>VLOOKUP(D227,FECHAS!$A$3:$B$14,2,0)</f>
        <v>Diciembre</v>
      </c>
      <c r="F227" s="319"/>
      <c r="G227" s="108">
        <f t="shared" si="51"/>
        <v>17</v>
      </c>
      <c r="H227" s="108">
        <f t="shared" si="49"/>
        <v>9</v>
      </c>
      <c r="I227" s="111">
        <f t="shared" si="61"/>
        <v>0</v>
      </c>
      <c r="J227" s="111">
        <v>5</v>
      </c>
      <c r="K227" s="111">
        <f t="shared" si="52"/>
        <v>0</v>
      </c>
      <c r="L227" s="111">
        <f t="shared" si="53"/>
        <v>0</v>
      </c>
      <c r="M227" s="143" t="str">
        <f t="shared" si="54"/>
        <v>LOTTT</v>
      </c>
      <c r="N227" s="108">
        <f t="shared" si="55"/>
        <v>0</v>
      </c>
      <c r="O227" s="321">
        <f t="shared" si="56"/>
        <v>0</v>
      </c>
      <c r="P227" s="322"/>
      <c r="Q227" s="321">
        <f t="shared" si="57"/>
        <v>0</v>
      </c>
      <c r="R227" s="173">
        <f>IF(ISNUMBER(VLOOKUP(E227,InteresPres!$B$2:$W$14,Prestaciones!C227-1997+2,0)),VLOOKUP(E227,InteresPres!$B$2:$W$14,Prestaciones!C227-1997+2,0),"0")/100</f>
        <v>0</v>
      </c>
      <c r="S227" s="323">
        <f t="shared" si="58"/>
        <v>0</v>
      </c>
      <c r="T227" s="323">
        <f t="shared" si="59"/>
        <v>0</v>
      </c>
      <c r="U227" s="5"/>
    </row>
    <row r="228" spans="2:21" x14ac:dyDescent="0.25">
      <c r="B228" s="4"/>
      <c r="C228" s="108">
        <f t="shared" si="50"/>
        <v>2029</v>
      </c>
      <c r="D228" s="109">
        <f t="shared" si="60"/>
        <v>1</v>
      </c>
      <c r="E228" s="110" t="str">
        <f>VLOOKUP(D228,FECHAS!$A$3:$B$14,2,0)</f>
        <v>Enero</v>
      </c>
      <c r="F228" s="319"/>
      <c r="G228" s="108">
        <f t="shared" si="51"/>
        <v>17</v>
      </c>
      <c r="H228" s="108">
        <f t="shared" si="49"/>
        <v>10</v>
      </c>
      <c r="I228" s="111">
        <f t="shared" si="61"/>
        <v>0</v>
      </c>
      <c r="J228" s="111">
        <v>5</v>
      </c>
      <c r="K228" s="111">
        <f t="shared" si="52"/>
        <v>15</v>
      </c>
      <c r="L228" s="111">
        <f t="shared" si="53"/>
        <v>0</v>
      </c>
      <c r="M228" s="143" t="str">
        <f t="shared" si="54"/>
        <v>LOTTT</v>
      </c>
      <c r="N228" s="108">
        <f t="shared" si="55"/>
        <v>15</v>
      </c>
      <c r="O228" s="321">
        <f t="shared" si="56"/>
        <v>0</v>
      </c>
      <c r="P228" s="322"/>
      <c r="Q228" s="321">
        <f t="shared" si="57"/>
        <v>0</v>
      </c>
      <c r="R228" s="173">
        <f>IF(ISNUMBER(VLOOKUP(E228,InteresPres!$B$2:$W$14,Prestaciones!C228-1997+2,0)),VLOOKUP(E228,InteresPres!$B$2:$W$14,Prestaciones!C228-1997+2,0),"0")/100</f>
        <v>0</v>
      </c>
      <c r="S228" s="323">
        <f t="shared" si="58"/>
        <v>0</v>
      </c>
      <c r="T228" s="323">
        <f t="shared" si="59"/>
        <v>0</v>
      </c>
      <c r="U228" s="5"/>
    </row>
    <row r="229" spans="2:21" x14ac:dyDescent="0.25">
      <c r="B229" s="4"/>
      <c r="C229" s="108">
        <f t="shared" si="50"/>
        <v>2029</v>
      </c>
      <c r="D229" s="109">
        <f t="shared" si="60"/>
        <v>2</v>
      </c>
      <c r="E229" s="110" t="str">
        <f>VLOOKUP(D229,FECHAS!$A$3:$B$14,2,0)</f>
        <v>Febrero</v>
      </c>
      <c r="F229" s="319"/>
      <c r="G229" s="108">
        <f t="shared" si="51"/>
        <v>17</v>
      </c>
      <c r="H229" s="108">
        <f t="shared" si="49"/>
        <v>11</v>
      </c>
      <c r="I229" s="111">
        <f t="shared" si="61"/>
        <v>0</v>
      </c>
      <c r="J229" s="111">
        <v>5</v>
      </c>
      <c r="K229" s="111">
        <f t="shared" si="52"/>
        <v>0</v>
      </c>
      <c r="L229" s="111">
        <f t="shared" si="53"/>
        <v>0</v>
      </c>
      <c r="M229" s="143" t="str">
        <f t="shared" si="54"/>
        <v>LOTTT</v>
      </c>
      <c r="N229" s="108">
        <f t="shared" si="55"/>
        <v>0</v>
      </c>
      <c r="O229" s="321">
        <f t="shared" si="56"/>
        <v>0</v>
      </c>
      <c r="P229" s="322"/>
      <c r="Q229" s="321">
        <f t="shared" si="57"/>
        <v>0</v>
      </c>
      <c r="R229" s="173">
        <f>IF(ISNUMBER(VLOOKUP(E229,InteresPres!$B$2:$W$14,Prestaciones!C229-1997+2,0)),VLOOKUP(E229,InteresPres!$B$2:$W$14,Prestaciones!C229-1997+2,0),"0")/100</f>
        <v>0</v>
      </c>
      <c r="S229" s="323">
        <f t="shared" si="58"/>
        <v>0</v>
      </c>
      <c r="T229" s="323">
        <f t="shared" si="59"/>
        <v>0</v>
      </c>
      <c r="U229" s="5"/>
    </row>
    <row r="230" spans="2:21" x14ac:dyDescent="0.25">
      <c r="B230" s="4"/>
      <c r="C230" s="108">
        <f t="shared" si="50"/>
        <v>2029</v>
      </c>
      <c r="D230" s="109">
        <f t="shared" si="60"/>
        <v>3</v>
      </c>
      <c r="E230" s="110" t="str">
        <f>VLOOKUP(D230,FECHAS!$A$3:$B$14,2,0)</f>
        <v>Marzo</v>
      </c>
      <c r="F230" s="319"/>
      <c r="G230" s="108">
        <f t="shared" si="51"/>
        <v>18</v>
      </c>
      <c r="H230" s="108">
        <f t="shared" si="49"/>
        <v>0</v>
      </c>
      <c r="I230" s="111">
        <f t="shared" si="61"/>
        <v>30</v>
      </c>
      <c r="J230" s="111">
        <v>5</v>
      </c>
      <c r="K230" s="111">
        <f t="shared" si="52"/>
        <v>0</v>
      </c>
      <c r="L230" s="111">
        <f t="shared" si="53"/>
        <v>0</v>
      </c>
      <c r="M230" s="143" t="str">
        <f t="shared" si="54"/>
        <v>LOTTT</v>
      </c>
      <c r="N230" s="108">
        <f t="shared" si="55"/>
        <v>30</v>
      </c>
      <c r="O230" s="321">
        <f t="shared" si="56"/>
        <v>0</v>
      </c>
      <c r="P230" s="322"/>
      <c r="Q230" s="321">
        <f t="shared" si="57"/>
        <v>0</v>
      </c>
      <c r="R230" s="173">
        <f>IF(ISNUMBER(VLOOKUP(E230,InteresPres!$B$2:$W$14,Prestaciones!C230-1997+2,0)),VLOOKUP(E230,InteresPres!$B$2:$W$14,Prestaciones!C230-1997+2,0),"0")/100</f>
        <v>0</v>
      </c>
      <c r="S230" s="323">
        <f t="shared" si="58"/>
        <v>0</v>
      </c>
      <c r="T230" s="323">
        <f t="shared" si="59"/>
        <v>0</v>
      </c>
      <c r="U230" s="5"/>
    </row>
    <row r="231" spans="2:21" x14ac:dyDescent="0.25">
      <c r="B231" s="4"/>
      <c r="C231" s="108">
        <f t="shared" si="50"/>
        <v>2029</v>
      </c>
      <c r="D231" s="109">
        <f t="shared" si="60"/>
        <v>4</v>
      </c>
      <c r="E231" s="110" t="str">
        <f>VLOOKUP(D231,FECHAS!$A$3:$B$14,2,0)</f>
        <v>Abril</v>
      </c>
      <c r="F231" s="319"/>
      <c r="G231" s="108">
        <f t="shared" si="51"/>
        <v>18</v>
      </c>
      <c r="H231" s="108">
        <f t="shared" si="49"/>
        <v>1</v>
      </c>
      <c r="I231" s="111">
        <f t="shared" si="61"/>
        <v>0</v>
      </c>
      <c r="J231" s="111">
        <v>5</v>
      </c>
      <c r="K231" s="111">
        <f t="shared" si="52"/>
        <v>15</v>
      </c>
      <c r="L231" s="111">
        <f t="shared" si="53"/>
        <v>0</v>
      </c>
      <c r="M231" s="143" t="str">
        <f t="shared" si="54"/>
        <v>LOTTT</v>
      </c>
      <c r="N231" s="108">
        <f t="shared" si="55"/>
        <v>15</v>
      </c>
      <c r="O231" s="321">
        <f t="shared" si="56"/>
        <v>0</v>
      </c>
      <c r="P231" s="322"/>
      <c r="Q231" s="321">
        <f t="shared" si="57"/>
        <v>0</v>
      </c>
      <c r="R231" s="173">
        <f>IF(ISNUMBER(VLOOKUP(E231,InteresPres!$B$2:$W$14,Prestaciones!C231-1997+2,0)),VLOOKUP(E231,InteresPres!$B$2:$W$14,Prestaciones!C231-1997+2,0),"0")/100</f>
        <v>0</v>
      </c>
      <c r="S231" s="323">
        <f t="shared" si="58"/>
        <v>0</v>
      </c>
      <c r="T231" s="323">
        <f t="shared" si="59"/>
        <v>0</v>
      </c>
      <c r="U231" s="5"/>
    </row>
    <row r="232" spans="2:21" x14ac:dyDescent="0.25">
      <c r="B232" s="4"/>
      <c r="C232" s="108">
        <f t="shared" si="50"/>
        <v>2029</v>
      </c>
      <c r="D232" s="109">
        <f t="shared" si="60"/>
        <v>5</v>
      </c>
      <c r="E232" s="110" t="str">
        <f>VLOOKUP(D232,FECHAS!$A$3:$B$14,2,0)</f>
        <v>Mayo</v>
      </c>
      <c r="F232" s="319"/>
      <c r="G232" s="108">
        <f t="shared" si="51"/>
        <v>18</v>
      </c>
      <c r="H232" s="108">
        <f t="shared" si="49"/>
        <v>2</v>
      </c>
      <c r="I232" s="111">
        <f t="shared" si="61"/>
        <v>0</v>
      </c>
      <c r="J232" s="111">
        <v>5</v>
      </c>
      <c r="K232" s="111">
        <f t="shared" si="52"/>
        <v>0</v>
      </c>
      <c r="L232" s="111">
        <f t="shared" si="53"/>
        <v>0</v>
      </c>
      <c r="M232" s="143" t="str">
        <f t="shared" si="54"/>
        <v>LOTTT</v>
      </c>
      <c r="N232" s="108">
        <f t="shared" si="55"/>
        <v>0</v>
      </c>
      <c r="O232" s="321">
        <f t="shared" si="56"/>
        <v>0</v>
      </c>
      <c r="P232" s="322"/>
      <c r="Q232" s="321">
        <f t="shared" si="57"/>
        <v>0</v>
      </c>
      <c r="R232" s="173">
        <f>IF(ISNUMBER(VLOOKUP(E232,InteresPres!$B$2:$W$14,Prestaciones!C232-1997+2,0)),VLOOKUP(E232,InteresPres!$B$2:$W$14,Prestaciones!C232-1997+2,0),"0")/100</f>
        <v>0</v>
      </c>
      <c r="S232" s="323">
        <f t="shared" si="58"/>
        <v>0</v>
      </c>
      <c r="T232" s="323">
        <f t="shared" si="59"/>
        <v>0</v>
      </c>
      <c r="U232" s="5"/>
    </row>
    <row r="233" spans="2:21" x14ac:dyDescent="0.25">
      <c r="B233" s="4"/>
      <c r="C233" s="108">
        <f t="shared" si="50"/>
        <v>2029</v>
      </c>
      <c r="D233" s="109">
        <f t="shared" si="60"/>
        <v>6</v>
      </c>
      <c r="E233" s="110" t="str">
        <f>VLOOKUP(D233,FECHAS!$A$3:$B$14,2,0)</f>
        <v>Junio</v>
      </c>
      <c r="F233" s="319"/>
      <c r="G233" s="108">
        <f t="shared" si="51"/>
        <v>18</v>
      </c>
      <c r="H233" s="108">
        <f t="shared" si="49"/>
        <v>3</v>
      </c>
      <c r="I233" s="111">
        <f t="shared" si="61"/>
        <v>0</v>
      </c>
      <c r="J233" s="111">
        <v>5</v>
      </c>
      <c r="K233" s="111">
        <f t="shared" si="52"/>
        <v>0</v>
      </c>
      <c r="L233" s="111">
        <f t="shared" si="53"/>
        <v>0</v>
      </c>
      <c r="M233" s="143" t="str">
        <f t="shared" si="54"/>
        <v>LOTTT</v>
      </c>
      <c r="N233" s="108">
        <f t="shared" si="55"/>
        <v>0</v>
      </c>
      <c r="O233" s="321">
        <f t="shared" si="56"/>
        <v>0</v>
      </c>
      <c r="P233" s="322"/>
      <c r="Q233" s="321">
        <f t="shared" si="57"/>
        <v>0</v>
      </c>
      <c r="R233" s="173">
        <f>IF(ISNUMBER(VLOOKUP(E233,InteresPres!$B$2:$W$14,Prestaciones!C233-1997+2,0)),VLOOKUP(E233,InteresPres!$B$2:$W$14,Prestaciones!C233-1997+2,0),"0")/100</f>
        <v>0</v>
      </c>
      <c r="S233" s="323">
        <f t="shared" si="58"/>
        <v>0</v>
      </c>
      <c r="T233" s="323">
        <f t="shared" si="59"/>
        <v>0</v>
      </c>
      <c r="U233" s="5"/>
    </row>
    <row r="234" spans="2:21" x14ac:dyDescent="0.25">
      <c r="B234" s="4"/>
      <c r="C234" s="108">
        <f t="shared" si="50"/>
        <v>2029</v>
      </c>
      <c r="D234" s="109">
        <f t="shared" si="60"/>
        <v>7</v>
      </c>
      <c r="E234" s="110" t="str">
        <f>VLOOKUP(D234,FECHAS!$A$3:$B$14,2,0)</f>
        <v>Julio</v>
      </c>
      <c r="F234" s="319"/>
      <c r="G234" s="108">
        <f t="shared" si="51"/>
        <v>18</v>
      </c>
      <c r="H234" s="108">
        <f t="shared" si="49"/>
        <v>4</v>
      </c>
      <c r="I234" s="111">
        <f t="shared" si="61"/>
        <v>0</v>
      </c>
      <c r="J234" s="111">
        <v>5</v>
      </c>
      <c r="K234" s="111">
        <f t="shared" si="52"/>
        <v>15</v>
      </c>
      <c r="L234" s="111">
        <f t="shared" si="53"/>
        <v>0</v>
      </c>
      <c r="M234" s="143" t="str">
        <f t="shared" si="54"/>
        <v>LOTTT</v>
      </c>
      <c r="N234" s="108">
        <f t="shared" si="55"/>
        <v>15</v>
      </c>
      <c r="O234" s="321">
        <f t="shared" si="56"/>
        <v>0</v>
      </c>
      <c r="P234" s="322"/>
      <c r="Q234" s="321">
        <f t="shared" si="57"/>
        <v>0</v>
      </c>
      <c r="R234" s="173">
        <f>IF(ISNUMBER(VLOOKUP(E234,InteresPres!$B$2:$W$14,Prestaciones!C234-1997+2,0)),VLOOKUP(E234,InteresPres!$B$2:$W$14,Prestaciones!C234-1997+2,0),"0")/100</f>
        <v>0</v>
      </c>
      <c r="S234" s="323">
        <f t="shared" si="58"/>
        <v>0</v>
      </c>
      <c r="T234" s="323">
        <f t="shared" si="59"/>
        <v>0</v>
      </c>
      <c r="U234" s="5"/>
    </row>
    <row r="235" spans="2:21" x14ac:dyDescent="0.25">
      <c r="B235" s="4"/>
      <c r="C235" s="108">
        <f t="shared" si="50"/>
        <v>2029</v>
      </c>
      <c r="D235" s="109">
        <f t="shared" si="60"/>
        <v>8</v>
      </c>
      <c r="E235" s="110" t="str">
        <f>VLOOKUP(D235,FECHAS!$A$3:$B$14,2,0)</f>
        <v>Agosto</v>
      </c>
      <c r="F235" s="319"/>
      <c r="G235" s="108">
        <f t="shared" si="51"/>
        <v>18</v>
      </c>
      <c r="H235" s="108">
        <f t="shared" si="49"/>
        <v>5</v>
      </c>
      <c r="I235" s="111">
        <f t="shared" si="61"/>
        <v>0</v>
      </c>
      <c r="J235" s="111">
        <v>5</v>
      </c>
      <c r="K235" s="111">
        <f t="shared" si="52"/>
        <v>0</v>
      </c>
      <c r="L235" s="111">
        <f t="shared" si="53"/>
        <v>0</v>
      </c>
      <c r="M235" s="143" t="str">
        <f t="shared" si="54"/>
        <v>LOTTT</v>
      </c>
      <c r="N235" s="108">
        <f t="shared" si="55"/>
        <v>0</v>
      </c>
      <c r="O235" s="321">
        <f t="shared" si="56"/>
        <v>0</v>
      </c>
      <c r="P235" s="322"/>
      <c r="Q235" s="321">
        <f t="shared" si="57"/>
        <v>0</v>
      </c>
      <c r="R235" s="173">
        <f>IF(ISNUMBER(VLOOKUP(E235,InteresPres!$B$2:$W$14,Prestaciones!C235-1997+2,0)),VLOOKUP(E235,InteresPres!$B$2:$W$14,Prestaciones!C235-1997+2,0),"0")/100</f>
        <v>0</v>
      </c>
      <c r="S235" s="323">
        <f t="shared" si="58"/>
        <v>0</v>
      </c>
      <c r="T235" s="323">
        <f t="shared" si="59"/>
        <v>0</v>
      </c>
      <c r="U235" s="5"/>
    </row>
    <row r="236" spans="2:21" x14ac:dyDescent="0.25">
      <c r="B236" s="4"/>
      <c r="C236" s="108">
        <f t="shared" si="50"/>
        <v>2029</v>
      </c>
      <c r="D236" s="109">
        <f t="shared" si="60"/>
        <v>9</v>
      </c>
      <c r="E236" s="110" t="str">
        <f>VLOOKUP(D236,FECHAS!$A$3:$B$14,2,0)</f>
        <v>Septiembre</v>
      </c>
      <c r="F236" s="319"/>
      <c r="G236" s="108">
        <f t="shared" si="51"/>
        <v>18</v>
      </c>
      <c r="H236" s="108">
        <f t="shared" si="49"/>
        <v>6</v>
      </c>
      <c r="I236" s="111">
        <f t="shared" si="61"/>
        <v>0</v>
      </c>
      <c r="J236" s="111">
        <v>5</v>
      </c>
      <c r="K236" s="111">
        <f t="shared" si="52"/>
        <v>0</v>
      </c>
      <c r="L236" s="111">
        <f t="shared" si="53"/>
        <v>0</v>
      </c>
      <c r="M236" s="143" t="str">
        <f t="shared" si="54"/>
        <v>LOTTT</v>
      </c>
      <c r="N236" s="108">
        <f t="shared" si="55"/>
        <v>0</v>
      </c>
      <c r="O236" s="321">
        <f t="shared" si="56"/>
        <v>0</v>
      </c>
      <c r="P236" s="322"/>
      <c r="Q236" s="321">
        <f t="shared" si="57"/>
        <v>0</v>
      </c>
      <c r="R236" s="173">
        <f>IF(ISNUMBER(VLOOKUP(E236,InteresPres!$B$2:$W$14,Prestaciones!C236-1997+2,0)),VLOOKUP(E236,InteresPres!$B$2:$W$14,Prestaciones!C236-1997+2,0),"0")/100</f>
        <v>0</v>
      </c>
      <c r="S236" s="323">
        <f t="shared" si="58"/>
        <v>0</v>
      </c>
      <c r="T236" s="323">
        <f t="shared" si="59"/>
        <v>0</v>
      </c>
      <c r="U236" s="5"/>
    </row>
    <row r="237" spans="2:21" x14ac:dyDescent="0.25">
      <c r="B237" s="4"/>
      <c r="C237" s="108">
        <f t="shared" si="50"/>
        <v>2029</v>
      </c>
      <c r="D237" s="109">
        <f t="shared" si="60"/>
        <v>10</v>
      </c>
      <c r="E237" s="110" t="str">
        <f>VLOOKUP(D237,FECHAS!$A$3:$B$14,2,0)</f>
        <v>Octubre</v>
      </c>
      <c r="F237" s="319"/>
      <c r="G237" s="108">
        <f t="shared" si="51"/>
        <v>18</v>
      </c>
      <c r="H237" s="108">
        <f t="shared" si="49"/>
        <v>7</v>
      </c>
      <c r="I237" s="111">
        <f t="shared" si="61"/>
        <v>0</v>
      </c>
      <c r="J237" s="111">
        <v>5</v>
      </c>
      <c r="K237" s="111">
        <f t="shared" si="52"/>
        <v>15</v>
      </c>
      <c r="L237" s="111">
        <f t="shared" si="53"/>
        <v>0</v>
      </c>
      <c r="M237" s="143" t="str">
        <f t="shared" si="54"/>
        <v>LOTTT</v>
      </c>
      <c r="N237" s="108">
        <f t="shared" si="55"/>
        <v>15</v>
      </c>
      <c r="O237" s="321">
        <f t="shared" si="56"/>
        <v>0</v>
      </c>
      <c r="P237" s="322"/>
      <c r="Q237" s="321">
        <f t="shared" si="57"/>
        <v>0</v>
      </c>
      <c r="R237" s="173">
        <f>IF(ISNUMBER(VLOOKUP(E237,InteresPres!$B$2:$W$14,Prestaciones!C237-1997+2,0)),VLOOKUP(E237,InteresPres!$B$2:$W$14,Prestaciones!C237-1997+2,0),"0")/100</f>
        <v>0</v>
      </c>
      <c r="S237" s="323">
        <f t="shared" si="58"/>
        <v>0</v>
      </c>
      <c r="T237" s="323">
        <f t="shared" si="59"/>
        <v>0</v>
      </c>
      <c r="U237" s="5"/>
    </row>
    <row r="238" spans="2:21" x14ac:dyDescent="0.25">
      <c r="B238" s="4"/>
      <c r="C238" s="108">
        <f t="shared" si="50"/>
        <v>2029</v>
      </c>
      <c r="D238" s="109">
        <f t="shared" si="60"/>
        <v>11</v>
      </c>
      <c r="E238" s="110" t="str">
        <f>VLOOKUP(D238,FECHAS!$A$3:$B$14,2,0)</f>
        <v>Noviembre</v>
      </c>
      <c r="F238" s="319"/>
      <c r="G238" s="108">
        <f t="shared" si="51"/>
        <v>18</v>
      </c>
      <c r="H238" s="108">
        <f t="shared" si="49"/>
        <v>8</v>
      </c>
      <c r="I238" s="111">
        <f t="shared" si="61"/>
        <v>0</v>
      </c>
      <c r="J238" s="111">
        <v>5</v>
      </c>
      <c r="K238" s="111">
        <f t="shared" si="52"/>
        <v>0</v>
      </c>
      <c r="L238" s="111">
        <f t="shared" si="53"/>
        <v>0</v>
      </c>
      <c r="M238" s="143" t="str">
        <f t="shared" si="54"/>
        <v>LOTTT</v>
      </c>
      <c r="N238" s="108">
        <f t="shared" si="55"/>
        <v>0</v>
      </c>
      <c r="O238" s="321">
        <f t="shared" si="56"/>
        <v>0</v>
      </c>
      <c r="P238" s="322"/>
      <c r="Q238" s="321">
        <f t="shared" si="57"/>
        <v>0</v>
      </c>
      <c r="R238" s="173">
        <f>IF(ISNUMBER(VLOOKUP(E238,InteresPres!$B$2:$W$14,Prestaciones!C238-1997+2,0)),VLOOKUP(E238,InteresPres!$B$2:$W$14,Prestaciones!C238-1997+2,0),"0")/100</f>
        <v>0</v>
      </c>
      <c r="S238" s="323">
        <f t="shared" si="58"/>
        <v>0</v>
      </c>
      <c r="T238" s="323">
        <f t="shared" si="59"/>
        <v>0</v>
      </c>
      <c r="U238" s="5"/>
    </row>
    <row r="239" spans="2:21" x14ac:dyDescent="0.25">
      <c r="B239" s="4"/>
      <c r="C239" s="108">
        <f t="shared" si="50"/>
        <v>2029</v>
      </c>
      <c r="D239" s="109">
        <f t="shared" si="60"/>
        <v>12</v>
      </c>
      <c r="E239" s="110" t="str">
        <f>VLOOKUP(D239,FECHAS!$A$3:$B$14,2,0)</f>
        <v>Diciembre</v>
      </c>
      <c r="F239" s="319"/>
      <c r="G239" s="108">
        <f t="shared" si="51"/>
        <v>18</v>
      </c>
      <c r="H239" s="108">
        <f t="shared" si="49"/>
        <v>9</v>
      </c>
      <c r="I239" s="111">
        <f t="shared" si="61"/>
        <v>0</v>
      </c>
      <c r="J239" s="111">
        <v>5</v>
      </c>
      <c r="K239" s="111">
        <f t="shared" si="52"/>
        <v>0</v>
      </c>
      <c r="L239" s="111">
        <f t="shared" si="53"/>
        <v>0</v>
      </c>
      <c r="M239" s="143" t="str">
        <f t="shared" si="54"/>
        <v>LOTTT</v>
      </c>
      <c r="N239" s="108">
        <f t="shared" si="55"/>
        <v>0</v>
      </c>
      <c r="O239" s="321">
        <f t="shared" si="56"/>
        <v>0</v>
      </c>
      <c r="P239" s="322"/>
      <c r="Q239" s="321">
        <f t="shared" si="57"/>
        <v>0</v>
      </c>
      <c r="R239" s="173">
        <f>IF(ISNUMBER(VLOOKUP(E239,InteresPres!$B$2:$W$14,Prestaciones!C239-1997+2,0)),VLOOKUP(E239,InteresPres!$B$2:$W$14,Prestaciones!C239-1997+2,0),"0")/100</f>
        <v>0</v>
      </c>
      <c r="S239" s="323">
        <f t="shared" si="58"/>
        <v>0</v>
      </c>
      <c r="T239" s="323">
        <f t="shared" si="59"/>
        <v>0</v>
      </c>
      <c r="U239" s="5"/>
    </row>
    <row r="240" spans="2:21" x14ac:dyDescent="0.25">
      <c r="B240" s="4"/>
      <c r="C240" s="108">
        <f t="shared" si="50"/>
        <v>2030</v>
      </c>
      <c r="D240" s="109">
        <f t="shared" si="60"/>
        <v>1</v>
      </c>
      <c r="E240" s="110" t="str">
        <f>VLOOKUP(D240,FECHAS!$A$3:$B$14,2,0)</f>
        <v>Enero</v>
      </c>
      <c r="F240" s="319"/>
      <c r="G240" s="108">
        <f t="shared" si="51"/>
        <v>18</v>
      </c>
      <c r="H240" s="108">
        <f t="shared" si="49"/>
        <v>10</v>
      </c>
      <c r="I240" s="111">
        <f t="shared" si="61"/>
        <v>0</v>
      </c>
      <c r="J240" s="111">
        <v>5</v>
      </c>
      <c r="K240" s="111">
        <f t="shared" si="52"/>
        <v>15</v>
      </c>
      <c r="L240" s="111">
        <f t="shared" si="53"/>
        <v>0</v>
      </c>
      <c r="M240" s="143" t="str">
        <f t="shared" si="54"/>
        <v>LOTTT</v>
      </c>
      <c r="N240" s="108">
        <f t="shared" si="55"/>
        <v>15</v>
      </c>
      <c r="O240" s="321">
        <f t="shared" si="56"/>
        <v>0</v>
      </c>
      <c r="P240" s="322"/>
      <c r="Q240" s="321">
        <f t="shared" si="57"/>
        <v>0</v>
      </c>
      <c r="R240" s="173">
        <f>IF(ISNUMBER(VLOOKUP(E240,InteresPres!$B$2:$W$14,Prestaciones!C240-1997+2,0)),VLOOKUP(E240,InteresPres!$B$2:$W$14,Prestaciones!C240-1997+2,0),"0")/100</f>
        <v>0</v>
      </c>
      <c r="S240" s="323">
        <f t="shared" si="58"/>
        <v>0</v>
      </c>
      <c r="T240" s="323">
        <f t="shared" si="59"/>
        <v>0</v>
      </c>
      <c r="U240" s="5"/>
    </row>
    <row r="241" spans="2:21" x14ac:dyDescent="0.25">
      <c r="B241" s="4"/>
      <c r="C241" s="108">
        <f t="shared" si="50"/>
        <v>2030</v>
      </c>
      <c r="D241" s="109">
        <f t="shared" si="60"/>
        <v>2</v>
      </c>
      <c r="E241" s="110" t="str">
        <f>VLOOKUP(D241,FECHAS!$A$3:$B$14,2,0)</f>
        <v>Febrero</v>
      </c>
      <c r="F241" s="319"/>
      <c r="G241" s="108">
        <f t="shared" si="51"/>
        <v>18</v>
      </c>
      <c r="H241" s="108">
        <f t="shared" si="49"/>
        <v>11</v>
      </c>
      <c r="I241" s="111">
        <f t="shared" si="61"/>
        <v>0</v>
      </c>
      <c r="J241" s="111">
        <v>5</v>
      </c>
      <c r="K241" s="111">
        <f t="shared" si="52"/>
        <v>0</v>
      </c>
      <c r="L241" s="111">
        <f t="shared" si="53"/>
        <v>0</v>
      </c>
      <c r="M241" s="143" t="str">
        <f t="shared" si="54"/>
        <v>LOTTT</v>
      </c>
      <c r="N241" s="108">
        <f t="shared" si="55"/>
        <v>0</v>
      </c>
      <c r="O241" s="321">
        <f t="shared" si="56"/>
        <v>0</v>
      </c>
      <c r="P241" s="322"/>
      <c r="Q241" s="321">
        <f t="shared" si="57"/>
        <v>0</v>
      </c>
      <c r="R241" s="173">
        <f>IF(ISNUMBER(VLOOKUP(E241,InteresPres!$B$2:$W$14,Prestaciones!C241-1997+2,0)),VLOOKUP(E241,InteresPres!$B$2:$W$14,Prestaciones!C241-1997+2,0),"0")/100</f>
        <v>0</v>
      </c>
      <c r="S241" s="323">
        <f t="shared" si="58"/>
        <v>0</v>
      </c>
      <c r="T241" s="323">
        <f t="shared" si="59"/>
        <v>0</v>
      </c>
      <c r="U241" s="5"/>
    </row>
    <row r="242" spans="2:21" x14ac:dyDescent="0.25">
      <c r="B242" s="4"/>
      <c r="C242" s="108">
        <f t="shared" si="50"/>
        <v>2030</v>
      </c>
      <c r="D242" s="109">
        <f t="shared" si="60"/>
        <v>3</v>
      </c>
      <c r="E242" s="110" t="str">
        <f>VLOOKUP(D242,FECHAS!$A$3:$B$14,2,0)</f>
        <v>Marzo</v>
      </c>
      <c r="F242" s="319"/>
      <c r="G242" s="108">
        <f t="shared" si="51"/>
        <v>19</v>
      </c>
      <c r="H242" s="108">
        <f t="shared" si="49"/>
        <v>0</v>
      </c>
      <c r="I242" s="111">
        <f t="shared" si="61"/>
        <v>30</v>
      </c>
      <c r="J242" s="111">
        <v>5</v>
      </c>
      <c r="K242" s="111">
        <f t="shared" si="52"/>
        <v>0</v>
      </c>
      <c r="L242" s="111">
        <f t="shared" si="53"/>
        <v>0</v>
      </c>
      <c r="M242" s="143" t="str">
        <f t="shared" si="54"/>
        <v>LOTTT</v>
      </c>
      <c r="N242" s="108">
        <f t="shared" si="55"/>
        <v>30</v>
      </c>
      <c r="O242" s="321">
        <f t="shared" si="56"/>
        <v>0</v>
      </c>
      <c r="P242" s="322"/>
      <c r="Q242" s="321">
        <f t="shared" si="57"/>
        <v>0</v>
      </c>
      <c r="R242" s="173">
        <f>IF(ISNUMBER(VLOOKUP(E242,InteresPres!$B$2:$W$14,Prestaciones!C242-1997+2,0)),VLOOKUP(E242,InteresPres!$B$2:$W$14,Prestaciones!C242-1997+2,0),"0")/100</f>
        <v>0</v>
      </c>
      <c r="S242" s="323">
        <f t="shared" si="58"/>
        <v>0</v>
      </c>
      <c r="T242" s="323">
        <f t="shared" si="59"/>
        <v>0</v>
      </c>
      <c r="U242" s="5"/>
    </row>
    <row r="243" spans="2:21" x14ac:dyDescent="0.25">
      <c r="B243" s="4"/>
      <c r="C243" s="108">
        <f t="shared" si="50"/>
        <v>2030</v>
      </c>
      <c r="D243" s="109">
        <f t="shared" si="60"/>
        <v>4</v>
      </c>
      <c r="E243" s="110" t="str">
        <f>VLOOKUP(D243,FECHAS!$A$3:$B$14,2,0)</f>
        <v>Abril</v>
      </c>
      <c r="F243" s="319"/>
      <c r="G243" s="108">
        <f t="shared" si="51"/>
        <v>19</v>
      </c>
      <c r="H243" s="108">
        <f t="shared" si="49"/>
        <v>1</v>
      </c>
      <c r="I243" s="111">
        <f t="shared" si="61"/>
        <v>0</v>
      </c>
      <c r="J243" s="111">
        <v>5</v>
      </c>
      <c r="K243" s="111">
        <f t="shared" si="52"/>
        <v>15</v>
      </c>
      <c r="L243" s="111">
        <f t="shared" si="53"/>
        <v>0</v>
      </c>
      <c r="M243" s="143" t="str">
        <f t="shared" si="54"/>
        <v>LOTTT</v>
      </c>
      <c r="N243" s="108">
        <f t="shared" si="55"/>
        <v>15</v>
      </c>
      <c r="O243" s="321">
        <f t="shared" si="56"/>
        <v>0</v>
      </c>
      <c r="P243" s="322"/>
      <c r="Q243" s="321">
        <f t="shared" si="57"/>
        <v>0</v>
      </c>
      <c r="R243" s="173">
        <f>IF(ISNUMBER(VLOOKUP(E243,InteresPres!$B$2:$W$14,Prestaciones!C243-1997+2,0)),VLOOKUP(E243,InteresPres!$B$2:$W$14,Prestaciones!C243-1997+2,0),"0")/100</f>
        <v>0</v>
      </c>
      <c r="S243" s="323">
        <f t="shared" si="58"/>
        <v>0</v>
      </c>
      <c r="T243" s="323">
        <f t="shared" si="59"/>
        <v>0</v>
      </c>
      <c r="U243" s="5"/>
    </row>
    <row r="244" spans="2:21" x14ac:dyDescent="0.25">
      <c r="B244" s="4"/>
      <c r="C244" s="108">
        <f t="shared" si="50"/>
        <v>2030</v>
      </c>
      <c r="D244" s="109">
        <f t="shared" si="60"/>
        <v>5</v>
      </c>
      <c r="E244" s="110" t="str">
        <f>VLOOKUP(D244,FECHAS!$A$3:$B$14,2,0)</f>
        <v>Mayo</v>
      </c>
      <c r="F244" s="319"/>
      <c r="G244" s="108">
        <f t="shared" si="51"/>
        <v>19</v>
      </c>
      <c r="H244" s="108">
        <f t="shared" si="49"/>
        <v>2</v>
      </c>
      <c r="I244" s="111">
        <f t="shared" si="61"/>
        <v>0</v>
      </c>
      <c r="J244" s="111">
        <v>5</v>
      </c>
      <c r="K244" s="111">
        <f t="shared" si="52"/>
        <v>0</v>
      </c>
      <c r="L244" s="111">
        <f t="shared" si="53"/>
        <v>0</v>
      </c>
      <c r="M244" s="143" t="str">
        <f t="shared" si="54"/>
        <v>LOTTT</v>
      </c>
      <c r="N244" s="108">
        <f t="shared" si="55"/>
        <v>0</v>
      </c>
      <c r="O244" s="321">
        <f t="shared" si="56"/>
        <v>0</v>
      </c>
      <c r="P244" s="322"/>
      <c r="Q244" s="321">
        <f t="shared" si="57"/>
        <v>0</v>
      </c>
      <c r="R244" s="173">
        <f>IF(ISNUMBER(VLOOKUP(E244,InteresPres!$B$2:$W$14,Prestaciones!C244-1997+2,0)),VLOOKUP(E244,InteresPres!$B$2:$W$14,Prestaciones!C244-1997+2,0),"0")/100</f>
        <v>0</v>
      </c>
      <c r="S244" s="323">
        <f t="shared" si="58"/>
        <v>0</v>
      </c>
      <c r="T244" s="323">
        <f t="shared" si="59"/>
        <v>0</v>
      </c>
      <c r="U244" s="5"/>
    </row>
    <row r="245" spans="2:21" x14ac:dyDescent="0.25">
      <c r="B245" s="4"/>
      <c r="C245" s="108">
        <f t="shared" si="50"/>
        <v>2030</v>
      </c>
      <c r="D245" s="109">
        <f t="shared" si="60"/>
        <v>6</v>
      </c>
      <c r="E245" s="110" t="str">
        <f>VLOOKUP(D245,FECHAS!$A$3:$B$14,2,0)</f>
        <v>Junio</v>
      </c>
      <c r="F245" s="319"/>
      <c r="G245" s="108">
        <f t="shared" si="51"/>
        <v>19</v>
      </c>
      <c r="H245" s="108">
        <f t="shared" si="49"/>
        <v>3</v>
      </c>
      <c r="I245" s="111">
        <f t="shared" si="61"/>
        <v>0</v>
      </c>
      <c r="J245" s="111">
        <v>5</v>
      </c>
      <c r="K245" s="111">
        <f t="shared" si="52"/>
        <v>0</v>
      </c>
      <c r="L245" s="111">
        <f t="shared" si="53"/>
        <v>0</v>
      </c>
      <c r="M245" s="143" t="str">
        <f t="shared" si="54"/>
        <v>LOTTT</v>
      </c>
      <c r="N245" s="108">
        <f t="shared" si="55"/>
        <v>0</v>
      </c>
      <c r="O245" s="321">
        <f t="shared" si="56"/>
        <v>0</v>
      </c>
      <c r="P245" s="322"/>
      <c r="Q245" s="321">
        <f t="shared" si="57"/>
        <v>0</v>
      </c>
      <c r="R245" s="173">
        <f>IF(ISNUMBER(VLOOKUP(E245,InteresPres!$B$2:$W$14,Prestaciones!C245-1997+2,0)),VLOOKUP(E245,InteresPres!$B$2:$W$14,Prestaciones!C245-1997+2,0),"0")/100</f>
        <v>0</v>
      </c>
      <c r="S245" s="323">
        <f t="shared" si="58"/>
        <v>0</v>
      </c>
      <c r="T245" s="323">
        <f t="shared" si="59"/>
        <v>0</v>
      </c>
      <c r="U245" s="5"/>
    </row>
    <row r="246" spans="2:21" x14ac:dyDescent="0.25">
      <c r="B246" s="4"/>
      <c r="C246" s="108">
        <f t="shared" si="50"/>
        <v>2030</v>
      </c>
      <c r="D246" s="109">
        <f t="shared" si="60"/>
        <v>7</v>
      </c>
      <c r="E246" s="110" t="str">
        <f>VLOOKUP(D246,FECHAS!$A$3:$B$14,2,0)</f>
        <v>Julio</v>
      </c>
      <c r="F246" s="319"/>
      <c r="G246" s="108">
        <f t="shared" si="51"/>
        <v>19</v>
      </c>
      <c r="H246" s="108">
        <f t="shared" si="49"/>
        <v>4</v>
      </c>
      <c r="I246" s="111">
        <f t="shared" si="61"/>
        <v>0</v>
      </c>
      <c r="J246" s="111">
        <v>5</v>
      </c>
      <c r="K246" s="111">
        <f t="shared" si="52"/>
        <v>15</v>
      </c>
      <c r="L246" s="111">
        <f t="shared" si="53"/>
        <v>0</v>
      </c>
      <c r="M246" s="143" t="str">
        <f t="shared" si="54"/>
        <v>LOTTT</v>
      </c>
      <c r="N246" s="108">
        <f t="shared" si="55"/>
        <v>15</v>
      </c>
      <c r="O246" s="321">
        <f t="shared" si="56"/>
        <v>0</v>
      </c>
      <c r="P246" s="322"/>
      <c r="Q246" s="321">
        <f t="shared" si="57"/>
        <v>0</v>
      </c>
      <c r="R246" s="173">
        <f>IF(ISNUMBER(VLOOKUP(E246,InteresPres!$B$2:$W$14,Prestaciones!C246-1997+2,0)),VLOOKUP(E246,InteresPres!$B$2:$W$14,Prestaciones!C246-1997+2,0),"0")/100</f>
        <v>0</v>
      </c>
      <c r="S246" s="323">
        <f t="shared" si="58"/>
        <v>0</v>
      </c>
      <c r="T246" s="323">
        <f t="shared" si="59"/>
        <v>0</v>
      </c>
      <c r="U246" s="5"/>
    </row>
    <row r="247" spans="2:21" x14ac:dyDescent="0.25">
      <c r="B247" s="4"/>
      <c r="C247" s="108">
        <f t="shared" si="50"/>
        <v>2030</v>
      </c>
      <c r="D247" s="109">
        <f t="shared" si="60"/>
        <v>8</v>
      </c>
      <c r="E247" s="110" t="str">
        <f>VLOOKUP(D247,FECHAS!$A$3:$B$14,2,0)</f>
        <v>Agosto</v>
      </c>
      <c r="F247" s="319"/>
      <c r="G247" s="108">
        <f t="shared" si="51"/>
        <v>19</v>
      </c>
      <c r="H247" s="108">
        <f t="shared" si="49"/>
        <v>5</v>
      </c>
      <c r="I247" s="111">
        <f t="shared" si="61"/>
        <v>0</v>
      </c>
      <c r="J247" s="111">
        <v>5</v>
      </c>
      <c r="K247" s="111">
        <f t="shared" si="52"/>
        <v>0</v>
      </c>
      <c r="L247" s="111">
        <f t="shared" si="53"/>
        <v>0</v>
      </c>
      <c r="M247" s="143" t="str">
        <f t="shared" si="54"/>
        <v>LOTTT</v>
      </c>
      <c r="N247" s="108">
        <f t="shared" si="55"/>
        <v>0</v>
      </c>
      <c r="O247" s="321">
        <f t="shared" si="56"/>
        <v>0</v>
      </c>
      <c r="P247" s="322"/>
      <c r="Q247" s="321">
        <f t="shared" si="57"/>
        <v>0</v>
      </c>
      <c r="R247" s="173">
        <f>IF(ISNUMBER(VLOOKUP(E247,InteresPres!$B$2:$W$14,Prestaciones!C247-1997+2,0)),VLOOKUP(E247,InteresPres!$B$2:$W$14,Prestaciones!C247-1997+2,0),"0")/100</f>
        <v>0</v>
      </c>
      <c r="S247" s="323">
        <f t="shared" si="58"/>
        <v>0</v>
      </c>
      <c r="T247" s="323">
        <f t="shared" si="59"/>
        <v>0</v>
      </c>
      <c r="U247" s="5"/>
    </row>
    <row r="248" spans="2:21" x14ac:dyDescent="0.25">
      <c r="B248" s="4"/>
      <c r="C248" s="108">
        <f t="shared" si="50"/>
        <v>2030</v>
      </c>
      <c r="D248" s="109">
        <f t="shared" si="60"/>
        <v>9</v>
      </c>
      <c r="E248" s="110" t="str">
        <f>VLOOKUP(D248,FECHAS!$A$3:$B$14,2,0)</f>
        <v>Septiembre</v>
      </c>
      <c r="F248" s="319"/>
      <c r="G248" s="108">
        <f t="shared" si="51"/>
        <v>19</v>
      </c>
      <c r="H248" s="108">
        <f t="shared" si="49"/>
        <v>6</v>
      </c>
      <c r="I248" s="111">
        <f t="shared" si="61"/>
        <v>0</v>
      </c>
      <c r="J248" s="111">
        <v>5</v>
      </c>
      <c r="K248" s="111">
        <f t="shared" si="52"/>
        <v>0</v>
      </c>
      <c r="L248" s="111">
        <f t="shared" si="53"/>
        <v>0</v>
      </c>
      <c r="M248" s="143" t="str">
        <f t="shared" si="54"/>
        <v>LOTTT</v>
      </c>
      <c r="N248" s="108">
        <f t="shared" si="55"/>
        <v>0</v>
      </c>
      <c r="O248" s="321">
        <f t="shared" si="56"/>
        <v>0</v>
      </c>
      <c r="P248" s="322"/>
      <c r="Q248" s="321">
        <f t="shared" si="57"/>
        <v>0</v>
      </c>
      <c r="R248" s="173">
        <f>IF(ISNUMBER(VLOOKUP(E248,InteresPres!$B$2:$W$14,Prestaciones!C248-1997+2,0)),VLOOKUP(E248,InteresPres!$B$2:$W$14,Prestaciones!C248-1997+2,0),"0")/100</f>
        <v>0</v>
      </c>
      <c r="S248" s="323">
        <f t="shared" si="58"/>
        <v>0</v>
      </c>
      <c r="T248" s="323">
        <f t="shared" si="59"/>
        <v>0</v>
      </c>
      <c r="U248" s="5"/>
    </row>
    <row r="249" spans="2:21" x14ac:dyDescent="0.25">
      <c r="B249" s="4"/>
      <c r="C249" s="108">
        <f t="shared" si="50"/>
        <v>2030</v>
      </c>
      <c r="D249" s="109">
        <f t="shared" si="60"/>
        <v>10</v>
      </c>
      <c r="E249" s="110" t="str">
        <f>VLOOKUP(D249,FECHAS!$A$3:$B$14,2,0)</f>
        <v>Octubre</v>
      </c>
      <c r="F249" s="319"/>
      <c r="G249" s="108">
        <f t="shared" si="51"/>
        <v>19</v>
      </c>
      <c r="H249" s="108">
        <f t="shared" si="49"/>
        <v>7</v>
      </c>
      <c r="I249" s="111">
        <f t="shared" si="61"/>
        <v>0</v>
      </c>
      <c r="J249" s="111">
        <v>5</v>
      </c>
      <c r="K249" s="111">
        <f t="shared" si="52"/>
        <v>15</v>
      </c>
      <c r="L249" s="111">
        <f t="shared" si="53"/>
        <v>0</v>
      </c>
      <c r="M249" s="143" t="str">
        <f t="shared" si="54"/>
        <v>LOTTT</v>
      </c>
      <c r="N249" s="108">
        <f t="shared" si="55"/>
        <v>15</v>
      </c>
      <c r="O249" s="321">
        <f t="shared" si="56"/>
        <v>0</v>
      </c>
      <c r="P249" s="322"/>
      <c r="Q249" s="321">
        <f t="shared" si="57"/>
        <v>0</v>
      </c>
      <c r="R249" s="173">
        <f>IF(ISNUMBER(VLOOKUP(E249,InteresPres!$B$2:$W$14,Prestaciones!C249-1997+2,0)),VLOOKUP(E249,InteresPres!$B$2:$W$14,Prestaciones!C249-1997+2,0),"0")/100</f>
        <v>0</v>
      </c>
      <c r="S249" s="323">
        <f t="shared" si="58"/>
        <v>0</v>
      </c>
      <c r="T249" s="323">
        <f t="shared" si="59"/>
        <v>0</v>
      </c>
      <c r="U249" s="5"/>
    </row>
    <row r="250" spans="2:21" x14ac:dyDescent="0.25">
      <c r="B250" s="4"/>
      <c r="C250" s="108">
        <f t="shared" si="50"/>
        <v>2030</v>
      </c>
      <c r="D250" s="109">
        <f t="shared" si="60"/>
        <v>11</v>
      </c>
      <c r="E250" s="110" t="str">
        <f>VLOOKUP(D250,FECHAS!$A$3:$B$14,2,0)</f>
        <v>Noviembre</v>
      </c>
      <c r="F250" s="319"/>
      <c r="G250" s="108">
        <f t="shared" si="51"/>
        <v>19</v>
      </c>
      <c r="H250" s="108">
        <f t="shared" si="49"/>
        <v>8</v>
      </c>
      <c r="I250" s="111">
        <f t="shared" si="61"/>
        <v>0</v>
      </c>
      <c r="J250" s="111">
        <v>5</v>
      </c>
      <c r="K250" s="111">
        <f t="shared" si="52"/>
        <v>0</v>
      </c>
      <c r="L250" s="111">
        <f t="shared" si="53"/>
        <v>0</v>
      </c>
      <c r="M250" s="143" t="str">
        <f t="shared" si="54"/>
        <v>LOTTT</v>
      </c>
      <c r="N250" s="108">
        <f t="shared" si="55"/>
        <v>0</v>
      </c>
      <c r="O250" s="321">
        <f t="shared" si="56"/>
        <v>0</v>
      </c>
      <c r="P250" s="322"/>
      <c r="Q250" s="321">
        <f t="shared" si="57"/>
        <v>0</v>
      </c>
      <c r="R250" s="173">
        <f>IF(ISNUMBER(VLOOKUP(E250,InteresPres!$B$2:$W$14,Prestaciones!C250-1997+2,0)),VLOOKUP(E250,InteresPres!$B$2:$W$14,Prestaciones!C250-1997+2,0),"0")/100</f>
        <v>0</v>
      </c>
      <c r="S250" s="323">
        <f t="shared" si="58"/>
        <v>0</v>
      </c>
      <c r="T250" s="323">
        <f t="shared" si="59"/>
        <v>0</v>
      </c>
      <c r="U250" s="5"/>
    </row>
    <row r="251" spans="2:21" x14ac:dyDescent="0.25">
      <c r="B251" s="4"/>
      <c r="C251" s="108">
        <f t="shared" si="50"/>
        <v>2030</v>
      </c>
      <c r="D251" s="109">
        <f t="shared" si="60"/>
        <v>12</v>
      </c>
      <c r="E251" s="110" t="str">
        <f>VLOOKUP(D251,FECHAS!$A$3:$B$14,2,0)</f>
        <v>Diciembre</v>
      </c>
      <c r="F251" s="319"/>
      <c r="G251" s="108">
        <f t="shared" si="51"/>
        <v>19</v>
      </c>
      <c r="H251" s="108">
        <f t="shared" si="49"/>
        <v>9</v>
      </c>
      <c r="I251" s="111">
        <f t="shared" si="61"/>
        <v>0</v>
      </c>
      <c r="J251" s="111">
        <v>5</v>
      </c>
      <c r="K251" s="111">
        <f t="shared" si="52"/>
        <v>0</v>
      </c>
      <c r="L251" s="111">
        <f t="shared" si="53"/>
        <v>0</v>
      </c>
      <c r="M251" s="143" t="str">
        <f t="shared" si="54"/>
        <v>LOTTT</v>
      </c>
      <c r="N251" s="108">
        <f t="shared" si="55"/>
        <v>0</v>
      </c>
      <c r="O251" s="321">
        <f t="shared" si="56"/>
        <v>0</v>
      </c>
      <c r="P251" s="322"/>
      <c r="Q251" s="321">
        <f t="shared" si="57"/>
        <v>0</v>
      </c>
      <c r="R251" s="173">
        <f>IF(ISNUMBER(VLOOKUP(E251,InteresPres!$B$2:$W$14,Prestaciones!C251-1997+2,0)),VLOOKUP(E251,InteresPres!$B$2:$W$14,Prestaciones!C251-1997+2,0),"0")/100</f>
        <v>0</v>
      </c>
      <c r="S251" s="323">
        <f t="shared" si="58"/>
        <v>0</v>
      </c>
      <c r="T251" s="323">
        <f t="shared" si="59"/>
        <v>0</v>
      </c>
      <c r="U251" s="5"/>
    </row>
    <row r="252" spans="2:21" x14ac:dyDescent="0.25">
      <c r="B252" s="4"/>
      <c r="C252" s="108">
        <f t="shared" si="50"/>
        <v>2031</v>
      </c>
      <c r="D252" s="109">
        <f t="shared" si="60"/>
        <v>1</v>
      </c>
      <c r="E252" s="110" t="str">
        <f>VLOOKUP(D252,FECHAS!$A$3:$B$14,2,0)</f>
        <v>Enero</v>
      </c>
      <c r="F252" s="319"/>
      <c r="G252" s="108">
        <f t="shared" si="51"/>
        <v>19</v>
      </c>
      <c r="H252" s="108">
        <f t="shared" si="49"/>
        <v>10</v>
      </c>
      <c r="I252" s="111">
        <f t="shared" si="61"/>
        <v>0</v>
      </c>
      <c r="J252" s="111">
        <v>5</v>
      </c>
      <c r="K252" s="111">
        <f t="shared" si="52"/>
        <v>15</v>
      </c>
      <c r="L252" s="111">
        <f t="shared" si="53"/>
        <v>0</v>
      </c>
      <c r="M252" s="143" t="str">
        <f t="shared" si="54"/>
        <v>LOTTT</v>
      </c>
      <c r="N252" s="108">
        <f t="shared" si="55"/>
        <v>15</v>
      </c>
      <c r="O252" s="321">
        <f t="shared" si="56"/>
        <v>0</v>
      </c>
      <c r="P252" s="322"/>
      <c r="Q252" s="321">
        <f t="shared" si="57"/>
        <v>0</v>
      </c>
      <c r="R252" s="173">
        <f>IF(ISNUMBER(VLOOKUP(E252,InteresPres!$B$2:$W$14,Prestaciones!C252-1997+2,0)),VLOOKUP(E252,InteresPres!$B$2:$W$14,Prestaciones!C252-1997+2,0),"0")/100</f>
        <v>0</v>
      </c>
      <c r="S252" s="323">
        <f t="shared" si="58"/>
        <v>0</v>
      </c>
      <c r="T252" s="323">
        <f t="shared" si="59"/>
        <v>0</v>
      </c>
      <c r="U252" s="5"/>
    </row>
    <row r="253" spans="2:21" x14ac:dyDescent="0.25">
      <c r="B253" s="4"/>
      <c r="C253" s="108">
        <f t="shared" si="50"/>
        <v>2031</v>
      </c>
      <c r="D253" s="109">
        <f t="shared" si="60"/>
        <v>2</v>
      </c>
      <c r="E253" s="110" t="str">
        <f>VLOOKUP(D253,FECHAS!$A$3:$B$14,2,0)</f>
        <v>Febrero</v>
      </c>
      <c r="F253" s="319"/>
      <c r="G253" s="108">
        <f t="shared" si="51"/>
        <v>19</v>
      </c>
      <c r="H253" s="108">
        <f t="shared" si="49"/>
        <v>11</v>
      </c>
      <c r="I253" s="111">
        <f t="shared" si="61"/>
        <v>0</v>
      </c>
      <c r="J253" s="111">
        <v>5</v>
      </c>
      <c r="K253" s="111">
        <f t="shared" si="52"/>
        <v>0</v>
      </c>
      <c r="L253" s="111">
        <f t="shared" si="53"/>
        <v>0</v>
      </c>
      <c r="M253" s="143" t="str">
        <f t="shared" si="54"/>
        <v>LOTTT</v>
      </c>
      <c r="N253" s="108">
        <f t="shared" si="55"/>
        <v>0</v>
      </c>
      <c r="O253" s="321">
        <f t="shared" si="56"/>
        <v>0</v>
      </c>
      <c r="P253" s="322"/>
      <c r="Q253" s="321">
        <f t="shared" si="57"/>
        <v>0</v>
      </c>
      <c r="R253" s="173">
        <f>IF(ISNUMBER(VLOOKUP(E253,InteresPres!$B$2:$W$14,Prestaciones!C253-1997+2,0)),VLOOKUP(E253,InteresPres!$B$2:$W$14,Prestaciones!C253-1997+2,0),"0")/100</f>
        <v>0</v>
      </c>
      <c r="S253" s="323">
        <f t="shared" si="58"/>
        <v>0</v>
      </c>
      <c r="T253" s="323">
        <f t="shared" si="59"/>
        <v>0</v>
      </c>
      <c r="U253" s="5"/>
    </row>
    <row r="254" spans="2:21" x14ac:dyDescent="0.25">
      <c r="B254" s="4"/>
      <c r="C254" s="108">
        <f t="shared" si="50"/>
        <v>2031</v>
      </c>
      <c r="D254" s="109">
        <f t="shared" si="60"/>
        <v>3</v>
      </c>
      <c r="E254" s="110" t="str">
        <f>VLOOKUP(D254,FECHAS!$A$3:$B$14,2,0)</f>
        <v>Marzo</v>
      </c>
      <c r="F254" s="319"/>
      <c r="G254" s="108">
        <f t="shared" si="51"/>
        <v>20</v>
      </c>
      <c r="H254" s="108">
        <f t="shared" si="49"/>
        <v>0</v>
      </c>
      <c r="I254" s="111">
        <f t="shared" si="61"/>
        <v>30</v>
      </c>
      <c r="J254" s="111">
        <v>5</v>
      </c>
      <c r="K254" s="111">
        <f t="shared" si="52"/>
        <v>0</v>
      </c>
      <c r="L254" s="111">
        <f t="shared" si="53"/>
        <v>0</v>
      </c>
      <c r="M254" s="143" t="str">
        <f t="shared" si="54"/>
        <v>LOTTT</v>
      </c>
      <c r="N254" s="108">
        <f t="shared" si="55"/>
        <v>30</v>
      </c>
      <c r="O254" s="321">
        <f t="shared" si="56"/>
        <v>0</v>
      </c>
      <c r="P254" s="322"/>
      <c r="Q254" s="321">
        <f t="shared" si="57"/>
        <v>0</v>
      </c>
      <c r="R254" s="173">
        <f>IF(ISNUMBER(VLOOKUP(E254,InteresPres!$B$2:$W$14,Prestaciones!C254-1997+2,0)),VLOOKUP(E254,InteresPres!$B$2:$W$14,Prestaciones!C254-1997+2,0),"0")/100</f>
        <v>0</v>
      </c>
      <c r="S254" s="323">
        <f t="shared" si="58"/>
        <v>0</v>
      </c>
      <c r="T254" s="323">
        <f t="shared" si="59"/>
        <v>0</v>
      </c>
      <c r="U254" s="5"/>
    </row>
    <row r="255" spans="2:21" x14ac:dyDescent="0.25">
      <c r="B255" s="4"/>
      <c r="C255" s="108">
        <f t="shared" si="50"/>
        <v>2031</v>
      </c>
      <c r="D255" s="109">
        <f t="shared" si="60"/>
        <v>4</v>
      </c>
      <c r="E255" s="110" t="str">
        <f>VLOOKUP(D255,FECHAS!$A$3:$B$14,2,0)</f>
        <v>Abril</v>
      </c>
      <c r="F255" s="319"/>
      <c r="G255" s="108">
        <f t="shared" si="51"/>
        <v>20</v>
      </c>
      <c r="H255" s="108">
        <f t="shared" si="49"/>
        <v>1</v>
      </c>
      <c r="I255" s="111">
        <f t="shared" si="61"/>
        <v>0</v>
      </c>
      <c r="J255" s="111">
        <v>5</v>
      </c>
      <c r="K255" s="111">
        <f t="shared" si="52"/>
        <v>15</v>
      </c>
      <c r="L255" s="111">
        <f t="shared" si="53"/>
        <v>0</v>
      </c>
      <c r="M255" s="143" t="str">
        <f t="shared" si="54"/>
        <v>LOTTT</v>
      </c>
      <c r="N255" s="108">
        <f t="shared" si="55"/>
        <v>15</v>
      </c>
      <c r="O255" s="321">
        <f t="shared" si="56"/>
        <v>0</v>
      </c>
      <c r="P255" s="322"/>
      <c r="Q255" s="321">
        <f t="shared" si="57"/>
        <v>0</v>
      </c>
      <c r="R255" s="173">
        <f>IF(ISNUMBER(VLOOKUP(E255,InteresPres!$B$2:$W$14,Prestaciones!C255-1997+2,0)),VLOOKUP(E255,InteresPres!$B$2:$W$14,Prestaciones!C255-1997+2,0),"0")/100</f>
        <v>0</v>
      </c>
      <c r="S255" s="323">
        <f t="shared" si="58"/>
        <v>0</v>
      </c>
      <c r="T255" s="323">
        <f t="shared" si="59"/>
        <v>0</v>
      </c>
      <c r="U255" s="5"/>
    </row>
    <row r="256" spans="2:21" x14ac:dyDescent="0.25">
      <c r="B256" s="4"/>
      <c r="C256" s="108">
        <f t="shared" si="50"/>
        <v>2031</v>
      </c>
      <c r="D256" s="109">
        <f t="shared" si="60"/>
        <v>5</v>
      </c>
      <c r="E256" s="110" t="str">
        <f>VLOOKUP(D256,FECHAS!$A$3:$B$14,2,0)</f>
        <v>Mayo</v>
      </c>
      <c r="F256" s="319"/>
      <c r="G256" s="108">
        <f t="shared" si="51"/>
        <v>20</v>
      </c>
      <c r="H256" s="108">
        <f t="shared" si="49"/>
        <v>2</v>
      </c>
      <c r="I256" s="111">
        <f t="shared" si="61"/>
        <v>0</v>
      </c>
      <c r="J256" s="111">
        <v>5</v>
      </c>
      <c r="K256" s="111">
        <f t="shared" si="52"/>
        <v>0</v>
      </c>
      <c r="L256" s="111">
        <f t="shared" si="53"/>
        <v>0</v>
      </c>
      <c r="M256" s="143" t="str">
        <f t="shared" si="54"/>
        <v>LOTTT</v>
      </c>
      <c r="N256" s="108">
        <f t="shared" si="55"/>
        <v>0</v>
      </c>
      <c r="O256" s="321">
        <f t="shared" si="56"/>
        <v>0</v>
      </c>
      <c r="P256" s="322"/>
      <c r="Q256" s="321">
        <f t="shared" si="57"/>
        <v>0</v>
      </c>
      <c r="R256" s="173">
        <f>IF(ISNUMBER(VLOOKUP(E256,InteresPres!$B$2:$W$14,Prestaciones!C256-1997+2,0)),VLOOKUP(E256,InteresPres!$B$2:$W$14,Prestaciones!C256-1997+2,0),"0")/100</f>
        <v>0</v>
      </c>
      <c r="S256" s="323">
        <f t="shared" si="58"/>
        <v>0</v>
      </c>
      <c r="T256" s="323">
        <f t="shared" si="59"/>
        <v>0</v>
      </c>
      <c r="U256" s="5"/>
    </row>
    <row r="257" spans="2:21" x14ac:dyDescent="0.25">
      <c r="B257" s="4"/>
      <c r="C257" s="108">
        <f t="shared" si="50"/>
        <v>2031</v>
      </c>
      <c r="D257" s="109">
        <f t="shared" si="60"/>
        <v>6</v>
      </c>
      <c r="E257" s="110" t="str">
        <f>VLOOKUP(D257,FECHAS!$A$3:$B$14,2,0)</f>
        <v>Junio</v>
      </c>
      <c r="F257" s="319"/>
      <c r="G257" s="108">
        <f t="shared" si="51"/>
        <v>20</v>
      </c>
      <c r="H257" s="108">
        <f t="shared" si="49"/>
        <v>3</v>
      </c>
      <c r="I257" s="111">
        <f t="shared" si="61"/>
        <v>0</v>
      </c>
      <c r="J257" s="111">
        <v>5</v>
      </c>
      <c r="K257" s="111">
        <f t="shared" si="52"/>
        <v>0</v>
      </c>
      <c r="L257" s="111">
        <f t="shared" si="53"/>
        <v>0</v>
      </c>
      <c r="M257" s="143" t="str">
        <f t="shared" si="54"/>
        <v>LOTTT</v>
      </c>
      <c r="N257" s="108">
        <f t="shared" si="55"/>
        <v>0</v>
      </c>
      <c r="O257" s="321">
        <f t="shared" si="56"/>
        <v>0</v>
      </c>
      <c r="P257" s="322"/>
      <c r="Q257" s="321">
        <f t="shared" si="57"/>
        <v>0</v>
      </c>
      <c r="R257" s="173">
        <f>IF(ISNUMBER(VLOOKUP(E257,InteresPres!$B$2:$W$14,Prestaciones!C257-1997+2,0)),VLOOKUP(E257,InteresPres!$B$2:$W$14,Prestaciones!C257-1997+2,0),"0")/100</f>
        <v>0</v>
      </c>
      <c r="S257" s="323">
        <f t="shared" si="58"/>
        <v>0</v>
      </c>
      <c r="T257" s="323">
        <f t="shared" si="59"/>
        <v>0</v>
      </c>
      <c r="U257" s="5"/>
    </row>
    <row r="258" spans="2:21" x14ac:dyDescent="0.25">
      <c r="B258" s="4"/>
      <c r="C258" s="108">
        <f t="shared" si="50"/>
        <v>2031</v>
      </c>
      <c r="D258" s="109">
        <f t="shared" si="60"/>
        <v>7</v>
      </c>
      <c r="E258" s="110" t="str">
        <f>VLOOKUP(D258,FECHAS!$A$3:$B$14,2,0)</f>
        <v>Julio</v>
      </c>
      <c r="F258" s="319"/>
      <c r="G258" s="108">
        <f t="shared" si="51"/>
        <v>20</v>
      </c>
      <c r="H258" s="108">
        <f t="shared" si="49"/>
        <v>4</v>
      </c>
      <c r="I258" s="111">
        <f t="shared" si="61"/>
        <v>0</v>
      </c>
      <c r="J258" s="111">
        <v>5</v>
      </c>
      <c r="K258" s="111">
        <f t="shared" si="52"/>
        <v>15</v>
      </c>
      <c r="L258" s="111">
        <f t="shared" si="53"/>
        <v>0</v>
      </c>
      <c r="M258" s="143" t="str">
        <f t="shared" si="54"/>
        <v>LOTTT</v>
      </c>
      <c r="N258" s="108">
        <f t="shared" si="55"/>
        <v>15</v>
      </c>
      <c r="O258" s="321">
        <f t="shared" si="56"/>
        <v>0</v>
      </c>
      <c r="P258" s="322"/>
      <c r="Q258" s="321">
        <f t="shared" si="57"/>
        <v>0</v>
      </c>
      <c r="R258" s="173">
        <f>IF(ISNUMBER(VLOOKUP(E258,InteresPres!$B$2:$W$14,Prestaciones!C258-1997+2,0)),VLOOKUP(E258,InteresPres!$B$2:$W$14,Prestaciones!C258-1997+2,0),"0")/100</f>
        <v>0</v>
      </c>
      <c r="S258" s="323">
        <f t="shared" si="58"/>
        <v>0</v>
      </c>
      <c r="T258" s="323">
        <f t="shared" si="59"/>
        <v>0</v>
      </c>
      <c r="U258" s="5"/>
    </row>
    <row r="259" spans="2:21" x14ac:dyDescent="0.25">
      <c r="B259" s="4"/>
      <c r="C259" s="108">
        <f t="shared" si="50"/>
        <v>2031</v>
      </c>
      <c r="D259" s="109">
        <f t="shared" si="60"/>
        <v>8</v>
      </c>
      <c r="E259" s="110" t="str">
        <f>VLOOKUP(D259,FECHAS!$A$3:$B$14,2,0)</f>
        <v>Agosto</v>
      </c>
      <c r="F259" s="319"/>
      <c r="G259" s="108">
        <f t="shared" si="51"/>
        <v>20</v>
      </c>
      <c r="H259" s="108">
        <f t="shared" si="49"/>
        <v>5</v>
      </c>
      <c r="I259" s="111">
        <f t="shared" si="61"/>
        <v>0</v>
      </c>
      <c r="J259" s="111">
        <v>5</v>
      </c>
      <c r="K259" s="111">
        <f t="shared" si="52"/>
        <v>0</v>
      </c>
      <c r="L259" s="111">
        <f t="shared" si="53"/>
        <v>0</v>
      </c>
      <c r="M259" s="143" t="str">
        <f t="shared" si="54"/>
        <v>LOTTT</v>
      </c>
      <c r="N259" s="108">
        <f t="shared" si="55"/>
        <v>0</v>
      </c>
      <c r="O259" s="321">
        <f t="shared" si="56"/>
        <v>0</v>
      </c>
      <c r="P259" s="322"/>
      <c r="Q259" s="321">
        <f t="shared" si="57"/>
        <v>0</v>
      </c>
      <c r="R259" s="173">
        <f>IF(ISNUMBER(VLOOKUP(E259,InteresPres!$B$2:$W$14,Prestaciones!C259-1997+2,0)),VLOOKUP(E259,InteresPres!$B$2:$W$14,Prestaciones!C259-1997+2,0),"0")/100</f>
        <v>0</v>
      </c>
      <c r="S259" s="323">
        <f t="shared" si="58"/>
        <v>0</v>
      </c>
      <c r="T259" s="323">
        <f t="shared" si="59"/>
        <v>0</v>
      </c>
      <c r="U259" s="5"/>
    </row>
    <row r="260" spans="2:21" x14ac:dyDescent="0.25">
      <c r="B260" s="4"/>
      <c r="C260" s="108">
        <f t="shared" si="50"/>
        <v>2031</v>
      </c>
      <c r="D260" s="109">
        <f t="shared" si="60"/>
        <v>9</v>
      </c>
      <c r="E260" s="110" t="str">
        <f>VLOOKUP(D260,FECHAS!$A$3:$B$14,2,0)</f>
        <v>Septiembre</v>
      </c>
      <c r="F260" s="319"/>
      <c r="G260" s="108">
        <f t="shared" si="51"/>
        <v>20</v>
      </c>
      <c r="H260" s="108">
        <f t="shared" si="49"/>
        <v>6</v>
      </c>
      <c r="I260" s="111">
        <f t="shared" si="61"/>
        <v>0</v>
      </c>
      <c r="J260" s="111">
        <v>5</v>
      </c>
      <c r="K260" s="111">
        <f t="shared" si="52"/>
        <v>0</v>
      </c>
      <c r="L260" s="111">
        <f t="shared" si="53"/>
        <v>0</v>
      </c>
      <c r="M260" s="143" t="str">
        <f t="shared" si="54"/>
        <v>LOTTT</v>
      </c>
      <c r="N260" s="108">
        <f t="shared" si="55"/>
        <v>0</v>
      </c>
      <c r="O260" s="321">
        <f t="shared" si="56"/>
        <v>0</v>
      </c>
      <c r="P260" s="322"/>
      <c r="Q260" s="321">
        <f t="shared" si="57"/>
        <v>0</v>
      </c>
      <c r="R260" s="173">
        <f>IF(ISNUMBER(VLOOKUP(E260,InteresPres!$B$2:$W$14,Prestaciones!C260-1997+2,0)),VLOOKUP(E260,InteresPres!$B$2:$W$14,Prestaciones!C260-1997+2,0),"0")/100</f>
        <v>0</v>
      </c>
      <c r="S260" s="323">
        <f t="shared" si="58"/>
        <v>0</v>
      </c>
      <c r="T260" s="323">
        <f t="shared" si="59"/>
        <v>0</v>
      </c>
      <c r="U260" s="5"/>
    </row>
    <row r="261" spans="2:21" x14ac:dyDescent="0.25">
      <c r="B261" s="4"/>
      <c r="C261" s="108">
        <f t="shared" si="50"/>
        <v>2031</v>
      </c>
      <c r="D261" s="109">
        <f t="shared" si="60"/>
        <v>10</v>
      </c>
      <c r="E261" s="110" t="str">
        <f>VLOOKUP(D261,FECHAS!$A$3:$B$14,2,0)</f>
        <v>Octubre</v>
      </c>
      <c r="F261" s="319"/>
      <c r="G261" s="108">
        <f t="shared" si="51"/>
        <v>20</v>
      </c>
      <c r="H261" s="108">
        <f t="shared" ref="H261:H324" si="62">IF(H260=11,0,H260+1)</f>
        <v>7</v>
      </c>
      <c r="I261" s="111">
        <f t="shared" si="61"/>
        <v>0</v>
      </c>
      <c r="J261" s="111">
        <v>5</v>
      </c>
      <c r="K261" s="111">
        <f t="shared" si="52"/>
        <v>15</v>
      </c>
      <c r="L261" s="111">
        <f t="shared" si="53"/>
        <v>0</v>
      </c>
      <c r="M261" s="143" t="str">
        <f t="shared" si="54"/>
        <v>LOTTT</v>
      </c>
      <c r="N261" s="108">
        <f t="shared" si="55"/>
        <v>15</v>
      </c>
      <c r="O261" s="321">
        <f t="shared" si="56"/>
        <v>0</v>
      </c>
      <c r="P261" s="322"/>
      <c r="Q261" s="321">
        <f t="shared" si="57"/>
        <v>0</v>
      </c>
      <c r="R261" s="173">
        <f>IF(ISNUMBER(VLOOKUP(E261,InteresPres!$B$2:$W$14,Prestaciones!C261-1997+2,0)),VLOOKUP(E261,InteresPres!$B$2:$W$14,Prestaciones!C261-1997+2,0),"0")/100</f>
        <v>0</v>
      </c>
      <c r="S261" s="323">
        <f t="shared" si="58"/>
        <v>0</v>
      </c>
      <c r="T261" s="323">
        <f t="shared" si="59"/>
        <v>0</v>
      </c>
      <c r="U261" s="5"/>
    </row>
    <row r="262" spans="2:21" x14ac:dyDescent="0.25">
      <c r="B262" s="4"/>
      <c r="C262" s="108">
        <f t="shared" si="50"/>
        <v>2031</v>
      </c>
      <c r="D262" s="109">
        <f t="shared" si="60"/>
        <v>11</v>
      </c>
      <c r="E262" s="110" t="str">
        <f>VLOOKUP(D262,FECHAS!$A$3:$B$14,2,0)</f>
        <v>Noviembre</v>
      </c>
      <c r="F262" s="319"/>
      <c r="G262" s="108">
        <f t="shared" si="51"/>
        <v>20</v>
      </c>
      <c r="H262" s="108">
        <f t="shared" si="62"/>
        <v>8</v>
      </c>
      <c r="I262" s="111">
        <f t="shared" si="61"/>
        <v>0</v>
      </c>
      <c r="J262" s="111">
        <v>5</v>
      </c>
      <c r="K262" s="111">
        <f t="shared" si="52"/>
        <v>0</v>
      </c>
      <c r="L262" s="111">
        <f t="shared" si="53"/>
        <v>0</v>
      </c>
      <c r="M262" s="143" t="str">
        <f t="shared" si="54"/>
        <v>LOTTT</v>
      </c>
      <c r="N262" s="108">
        <f t="shared" si="55"/>
        <v>0</v>
      </c>
      <c r="O262" s="321">
        <f t="shared" si="56"/>
        <v>0</v>
      </c>
      <c r="P262" s="322"/>
      <c r="Q262" s="321">
        <f t="shared" si="57"/>
        <v>0</v>
      </c>
      <c r="R262" s="173">
        <f>IF(ISNUMBER(VLOOKUP(E262,InteresPres!$B$2:$W$14,Prestaciones!C262-1997+2,0)),VLOOKUP(E262,InteresPres!$B$2:$W$14,Prestaciones!C262-1997+2,0),"0")/100</f>
        <v>0</v>
      </c>
      <c r="S262" s="323">
        <f t="shared" si="58"/>
        <v>0</v>
      </c>
      <c r="T262" s="323">
        <f t="shared" si="59"/>
        <v>0</v>
      </c>
      <c r="U262" s="5"/>
    </row>
    <row r="263" spans="2:21" x14ac:dyDescent="0.25">
      <c r="B263" s="4"/>
      <c r="C263" s="108">
        <f t="shared" si="50"/>
        <v>2031</v>
      </c>
      <c r="D263" s="109">
        <f t="shared" si="60"/>
        <v>12</v>
      </c>
      <c r="E263" s="110" t="str">
        <f>VLOOKUP(D263,FECHAS!$A$3:$B$14,2,0)</f>
        <v>Diciembre</v>
      </c>
      <c r="F263" s="319"/>
      <c r="G263" s="108">
        <f t="shared" si="51"/>
        <v>20</v>
      </c>
      <c r="H263" s="108">
        <f t="shared" si="62"/>
        <v>9</v>
      </c>
      <c r="I263" s="111">
        <f t="shared" si="61"/>
        <v>0</v>
      </c>
      <c r="J263" s="111">
        <v>5</v>
      </c>
      <c r="K263" s="111">
        <f t="shared" si="52"/>
        <v>0</v>
      </c>
      <c r="L263" s="111">
        <f t="shared" si="53"/>
        <v>0</v>
      </c>
      <c r="M263" s="143" t="str">
        <f t="shared" si="54"/>
        <v>LOTTT</v>
      </c>
      <c r="N263" s="108">
        <f t="shared" si="55"/>
        <v>0</v>
      </c>
      <c r="O263" s="321">
        <f t="shared" si="56"/>
        <v>0</v>
      </c>
      <c r="P263" s="322"/>
      <c r="Q263" s="321">
        <f t="shared" si="57"/>
        <v>0</v>
      </c>
      <c r="R263" s="173">
        <f>IF(ISNUMBER(VLOOKUP(E263,InteresPres!$B$2:$W$14,Prestaciones!C263-1997+2,0)),VLOOKUP(E263,InteresPres!$B$2:$W$14,Prestaciones!C263-1997+2,0),"0")/100</f>
        <v>0</v>
      </c>
      <c r="S263" s="323">
        <f t="shared" si="58"/>
        <v>0</v>
      </c>
      <c r="T263" s="323">
        <f t="shared" si="59"/>
        <v>0</v>
      </c>
      <c r="U263" s="5"/>
    </row>
    <row r="264" spans="2:21" x14ac:dyDescent="0.25">
      <c r="B264" s="4"/>
      <c r="C264" s="108">
        <f t="shared" si="50"/>
        <v>2032</v>
      </c>
      <c r="D264" s="109">
        <f t="shared" si="60"/>
        <v>1</v>
      </c>
      <c r="E264" s="110" t="str">
        <f>VLOOKUP(D264,FECHAS!$A$3:$B$14,2,0)</f>
        <v>Enero</v>
      </c>
      <c r="F264" s="319"/>
      <c r="G264" s="108">
        <f t="shared" si="51"/>
        <v>20</v>
      </c>
      <c r="H264" s="108">
        <f t="shared" si="62"/>
        <v>10</v>
      </c>
      <c r="I264" s="111">
        <f t="shared" si="61"/>
        <v>0</v>
      </c>
      <c r="J264" s="111">
        <v>5</v>
      </c>
      <c r="K264" s="111">
        <f t="shared" si="52"/>
        <v>15</v>
      </c>
      <c r="L264" s="111">
        <f t="shared" si="53"/>
        <v>0</v>
      </c>
      <c r="M264" s="143" t="str">
        <f t="shared" si="54"/>
        <v>LOTTT</v>
      </c>
      <c r="N264" s="108">
        <f t="shared" si="55"/>
        <v>15</v>
      </c>
      <c r="O264" s="321">
        <f t="shared" si="56"/>
        <v>0</v>
      </c>
      <c r="P264" s="322"/>
      <c r="Q264" s="321">
        <f t="shared" si="57"/>
        <v>0</v>
      </c>
      <c r="R264" s="173">
        <f>IF(ISNUMBER(VLOOKUP(E264,InteresPres!$B$2:$W$14,Prestaciones!C264-1997+2,0)),VLOOKUP(E264,InteresPres!$B$2:$W$14,Prestaciones!C264-1997+2,0),"0")/100</f>
        <v>0</v>
      </c>
      <c r="S264" s="323">
        <f t="shared" si="58"/>
        <v>0</v>
      </c>
      <c r="T264" s="323">
        <f t="shared" si="59"/>
        <v>0</v>
      </c>
      <c r="U264" s="5"/>
    </row>
    <row r="265" spans="2:21" x14ac:dyDescent="0.25">
      <c r="B265" s="4"/>
      <c r="C265" s="108">
        <f t="shared" si="50"/>
        <v>2032</v>
      </c>
      <c r="D265" s="109">
        <f t="shared" si="60"/>
        <v>2</v>
      </c>
      <c r="E265" s="110" t="str">
        <f>VLOOKUP(D265,FECHAS!$A$3:$B$14,2,0)</f>
        <v>Febrero</v>
      </c>
      <c r="F265" s="319"/>
      <c r="G265" s="108">
        <f t="shared" si="51"/>
        <v>20</v>
      </c>
      <c r="H265" s="108">
        <f t="shared" si="62"/>
        <v>11</v>
      </c>
      <c r="I265" s="111">
        <f t="shared" si="61"/>
        <v>0</v>
      </c>
      <c r="J265" s="111">
        <v>5</v>
      </c>
      <c r="K265" s="111">
        <f t="shared" si="52"/>
        <v>0</v>
      </c>
      <c r="L265" s="111">
        <f t="shared" si="53"/>
        <v>0</v>
      </c>
      <c r="M265" s="143" t="str">
        <f t="shared" si="54"/>
        <v>LOTTT</v>
      </c>
      <c r="N265" s="108">
        <f t="shared" si="55"/>
        <v>0</v>
      </c>
      <c r="O265" s="321">
        <f t="shared" si="56"/>
        <v>0</v>
      </c>
      <c r="P265" s="322"/>
      <c r="Q265" s="321">
        <f t="shared" si="57"/>
        <v>0</v>
      </c>
      <c r="R265" s="173">
        <f>IF(ISNUMBER(VLOOKUP(E265,InteresPres!$B$2:$W$14,Prestaciones!C265-1997+2,0)),VLOOKUP(E265,InteresPres!$B$2:$W$14,Prestaciones!C265-1997+2,0),"0")/100</f>
        <v>0</v>
      </c>
      <c r="S265" s="323">
        <f t="shared" si="58"/>
        <v>0</v>
      </c>
      <c r="T265" s="323">
        <f t="shared" si="59"/>
        <v>0</v>
      </c>
      <c r="U265" s="5"/>
    </row>
    <row r="266" spans="2:21" x14ac:dyDescent="0.25">
      <c r="B266" s="4"/>
      <c r="C266" s="108">
        <f t="shared" si="50"/>
        <v>2032</v>
      </c>
      <c r="D266" s="109">
        <f t="shared" si="60"/>
        <v>3</v>
      </c>
      <c r="E266" s="110" t="str">
        <f>VLOOKUP(D266,FECHAS!$A$3:$B$14,2,0)</f>
        <v>Marzo</v>
      </c>
      <c r="F266" s="319"/>
      <c r="G266" s="108">
        <f t="shared" si="51"/>
        <v>21</v>
      </c>
      <c r="H266" s="108">
        <f t="shared" si="62"/>
        <v>0</v>
      </c>
      <c r="I266" s="111">
        <f t="shared" si="61"/>
        <v>30</v>
      </c>
      <c r="J266" s="111">
        <v>5</v>
      </c>
      <c r="K266" s="111">
        <f t="shared" si="52"/>
        <v>0</v>
      </c>
      <c r="L266" s="111">
        <f t="shared" si="53"/>
        <v>0</v>
      </c>
      <c r="M266" s="143" t="str">
        <f t="shared" si="54"/>
        <v>LOTTT</v>
      </c>
      <c r="N266" s="108">
        <f t="shared" si="55"/>
        <v>30</v>
      </c>
      <c r="O266" s="321">
        <f t="shared" si="56"/>
        <v>0</v>
      </c>
      <c r="P266" s="322"/>
      <c r="Q266" s="321">
        <f t="shared" si="57"/>
        <v>0</v>
      </c>
      <c r="R266" s="173">
        <f>IF(ISNUMBER(VLOOKUP(E266,InteresPres!$B$2:$W$14,Prestaciones!C266-1997+2,0)),VLOOKUP(E266,InteresPres!$B$2:$W$14,Prestaciones!C266-1997+2,0),"0")/100</f>
        <v>0</v>
      </c>
      <c r="S266" s="323">
        <f t="shared" si="58"/>
        <v>0</v>
      </c>
      <c r="T266" s="323">
        <f t="shared" si="59"/>
        <v>0</v>
      </c>
      <c r="U266" s="5"/>
    </row>
    <row r="267" spans="2:21" x14ac:dyDescent="0.25">
      <c r="B267" s="4"/>
      <c r="C267" s="108">
        <f t="shared" si="50"/>
        <v>2032</v>
      </c>
      <c r="D267" s="109">
        <f t="shared" si="60"/>
        <v>4</v>
      </c>
      <c r="E267" s="110" t="str">
        <f>VLOOKUP(D267,FECHAS!$A$3:$B$14,2,0)</f>
        <v>Abril</v>
      </c>
      <c r="F267" s="319"/>
      <c r="G267" s="108">
        <f t="shared" si="51"/>
        <v>21</v>
      </c>
      <c r="H267" s="108">
        <f t="shared" si="62"/>
        <v>1</v>
      </c>
      <c r="I267" s="111">
        <f t="shared" si="61"/>
        <v>0</v>
      </c>
      <c r="J267" s="111">
        <v>5</v>
      </c>
      <c r="K267" s="111">
        <f t="shared" si="52"/>
        <v>15</v>
      </c>
      <c r="L267" s="111">
        <f t="shared" si="53"/>
        <v>0</v>
      </c>
      <c r="M267" s="143" t="str">
        <f t="shared" si="54"/>
        <v>LOTTT</v>
      </c>
      <c r="N267" s="108">
        <f t="shared" si="55"/>
        <v>15</v>
      </c>
      <c r="O267" s="321">
        <f t="shared" si="56"/>
        <v>0</v>
      </c>
      <c r="P267" s="322"/>
      <c r="Q267" s="321">
        <f t="shared" si="57"/>
        <v>0</v>
      </c>
      <c r="R267" s="173">
        <f>IF(ISNUMBER(VLOOKUP(E267,InteresPres!$B$2:$W$14,Prestaciones!C267-1997+2,0)),VLOOKUP(E267,InteresPres!$B$2:$W$14,Prestaciones!C267-1997+2,0),"0")/100</f>
        <v>0</v>
      </c>
      <c r="S267" s="323">
        <f t="shared" si="58"/>
        <v>0</v>
      </c>
      <c r="T267" s="323">
        <f t="shared" si="59"/>
        <v>0</v>
      </c>
      <c r="U267" s="5"/>
    </row>
    <row r="268" spans="2:21" x14ac:dyDescent="0.25">
      <c r="B268" s="4"/>
      <c r="C268" s="108">
        <f t="shared" si="50"/>
        <v>2032</v>
      </c>
      <c r="D268" s="109">
        <f t="shared" si="60"/>
        <v>5</v>
      </c>
      <c r="E268" s="110" t="str">
        <f>VLOOKUP(D268,FECHAS!$A$3:$B$14,2,0)</f>
        <v>Mayo</v>
      </c>
      <c r="F268" s="319"/>
      <c r="G268" s="108">
        <f t="shared" si="51"/>
        <v>21</v>
      </c>
      <c r="H268" s="108">
        <f t="shared" si="62"/>
        <v>2</v>
      </c>
      <c r="I268" s="111">
        <f t="shared" si="61"/>
        <v>0</v>
      </c>
      <c r="J268" s="111">
        <v>5</v>
      </c>
      <c r="K268" s="111">
        <f t="shared" si="52"/>
        <v>0</v>
      </c>
      <c r="L268" s="111">
        <f t="shared" si="53"/>
        <v>0</v>
      </c>
      <c r="M268" s="143" t="str">
        <f t="shared" si="54"/>
        <v>LOTTT</v>
      </c>
      <c r="N268" s="108">
        <f t="shared" si="55"/>
        <v>0</v>
      </c>
      <c r="O268" s="321">
        <f t="shared" si="56"/>
        <v>0</v>
      </c>
      <c r="P268" s="322"/>
      <c r="Q268" s="321">
        <f t="shared" si="57"/>
        <v>0</v>
      </c>
      <c r="R268" s="173">
        <f>IF(ISNUMBER(VLOOKUP(E268,InteresPres!$B$2:$W$14,Prestaciones!C268-1997+2,0)),VLOOKUP(E268,InteresPres!$B$2:$W$14,Prestaciones!C268-1997+2,0),"0")/100</f>
        <v>0</v>
      </c>
      <c r="S268" s="323">
        <f t="shared" si="58"/>
        <v>0</v>
      </c>
      <c r="T268" s="323">
        <f t="shared" si="59"/>
        <v>0</v>
      </c>
      <c r="U268" s="5"/>
    </row>
    <row r="269" spans="2:21" x14ac:dyDescent="0.25">
      <c r="B269" s="4"/>
      <c r="C269" s="108">
        <f t="shared" si="50"/>
        <v>2032</v>
      </c>
      <c r="D269" s="109">
        <f t="shared" si="60"/>
        <v>6</v>
      </c>
      <c r="E269" s="110" t="str">
        <f>VLOOKUP(D269,FECHAS!$A$3:$B$14,2,0)</f>
        <v>Junio</v>
      </c>
      <c r="F269" s="319"/>
      <c r="G269" s="108">
        <f t="shared" si="51"/>
        <v>21</v>
      </c>
      <c r="H269" s="108">
        <f t="shared" si="62"/>
        <v>3</v>
      </c>
      <c r="I269" s="111">
        <f t="shared" si="61"/>
        <v>0</v>
      </c>
      <c r="J269" s="111">
        <v>5</v>
      </c>
      <c r="K269" s="111">
        <f t="shared" si="52"/>
        <v>0</v>
      </c>
      <c r="L269" s="111">
        <f t="shared" si="53"/>
        <v>0</v>
      </c>
      <c r="M269" s="143" t="str">
        <f t="shared" si="54"/>
        <v>LOTTT</v>
      </c>
      <c r="N269" s="108">
        <f t="shared" si="55"/>
        <v>0</v>
      </c>
      <c r="O269" s="321">
        <f t="shared" si="56"/>
        <v>0</v>
      </c>
      <c r="P269" s="322"/>
      <c r="Q269" s="321">
        <f t="shared" si="57"/>
        <v>0</v>
      </c>
      <c r="R269" s="173">
        <f>IF(ISNUMBER(VLOOKUP(E269,InteresPres!$B$2:$W$14,Prestaciones!C269-1997+2,0)),VLOOKUP(E269,InteresPres!$B$2:$W$14,Prestaciones!C269-1997+2,0),"0")/100</f>
        <v>0</v>
      </c>
      <c r="S269" s="323">
        <f t="shared" si="58"/>
        <v>0</v>
      </c>
      <c r="T269" s="323">
        <f t="shared" si="59"/>
        <v>0</v>
      </c>
      <c r="U269" s="5"/>
    </row>
    <row r="270" spans="2:21" x14ac:dyDescent="0.25">
      <c r="B270" s="4"/>
      <c r="C270" s="108">
        <f t="shared" ref="C270:C333" si="63">IF(D269=12,C269+1,C269)</f>
        <v>2032</v>
      </c>
      <c r="D270" s="109">
        <f t="shared" si="60"/>
        <v>7</v>
      </c>
      <c r="E270" s="110" t="str">
        <f>VLOOKUP(D270,FECHAS!$A$3:$B$14,2,0)</f>
        <v>Julio</v>
      </c>
      <c r="F270" s="319"/>
      <c r="G270" s="108">
        <f t="shared" ref="G270:G333" si="64">IF(H269=11,G269+1,G269)</f>
        <v>21</v>
      </c>
      <c r="H270" s="108">
        <f t="shared" si="62"/>
        <v>4</v>
      </c>
      <c r="I270" s="111">
        <f t="shared" si="61"/>
        <v>0</v>
      </c>
      <c r="J270" s="111">
        <v>5</v>
      </c>
      <c r="K270" s="111">
        <f t="shared" ref="K270:K333" si="65">IF(OR(D270=7,D270=10,D270=1,D270=4),15,0)</f>
        <v>15</v>
      </c>
      <c r="L270" s="111">
        <f t="shared" ref="L270:L333" si="66">IF(AND(C270=2012,D270=6),-5,0)</f>
        <v>0</v>
      </c>
      <c r="M270" s="143" t="str">
        <f t="shared" ref="M270:M333" si="67">IF(OR(AND(C270&gt;=2012,D270&gt;=5),C270&gt;2012),"LOTTT","LOT")</f>
        <v>LOTTT</v>
      </c>
      <c r="N270" s="108">
        <f t="shared" ref="N270:N333" si="68">IF(M270="LOT",I270+J270,I270+K270)</f>
        <v>15</v>
      </c>
      <c r="O270" s="321">
        <f t="shared" ref="O270:O333" si="69">(F270/30)*N270</f>
        <v>0</v>
      </c>
      <c r="P270" s="322"/>
      <c r="Q270" s="321">
        <f t="shared" ref="Q270:Q333" si="70">IF(F270&gt;0,O270+Q269+P270,0)</f>
        <v>0</v>
      </c>
      <c r="R270" s="173">
        <f>IF(ISNUMBER(VLOOKUP(E270,InteresPres!$B$2:$W$14,Prestaciones!C270-1997+2,0)),VLOOKUP(E270,InteresPres!$B$2:$W$14,Prestaciones!C270-1997+2,0),"0")/100</f>
        <v>0</v>
      </c>
      <c r="S270" s="323">
        <f t="shared" ref="S270:S333" si="71">IF(F270&gt;0,(R270/12)*Q270,0)</f>
        <v>0</v>
      </c>
      <c r="T270" s="323">
        <f t="shared" ref="T270:T333" si="72">IF(F270&gt;0,S270+T269,0)</f>
        <v>0</v>
      </c>
      <c r="U270" s="5"/>
    </row>
    <row r="271" spans="2:21" x14ac:dyDescent="0.25">
      <c r="B271" s="4"/>
      <c r="C271" s="108">
        <f t="shared" si="63"/>
        <v>2032</v>
      </c>
      <c r="D271" s="109">
        <f t="shared" si="60"/>
        <v>8</v>
      </c>
      <c r="E271" s="110" t="str">
        <f>VLOOKUP(D271,FECHAS!$A$3:$B$14,2,0)</f>
        <v>Agosto</v>
      </c>
      <c r="F271" s="319"/>
      <c r="G271" s="108">
        <f t="shared" si="64"/>
        <v>21</v>
      </c>
      <c r="H271" s="108">
        <f t="shared" si="62"/>
        <v>5</v>
      </c>
      <c r="I271" s="111">
        <f t="shared" si="61"/>
        <v>0</v>
      </c>
      <c r="J271" s="111">
        <v>5</v>
      </c>
      <c r="K271" s="111">
        <f t="shared" si="65"/>
        <v>0</v>
      </c>
      <c r="L271" s="111">
        <f t="shared" si="66"/>
        <v>0</v>
      </c>
      <c r="M271" s="143" t="str">
        <f t="shared" si="67"/>
        <v>LOTTT</v>
      </c>
      <c r="N271" s="108">
        <f t="shared" si="68"/>
        <v>0</v>
      </c>
      <c r="O271" s="321">
        <f t="shared" si="69"/>
        <v>0</v>
      </c>
      <c r="P271" s="322"/>
      <c r="Q271" s="321">
        <f t="shared" si="70"/>
        <v>0</v>
      </c>
      <c r="R271" s="173">
        <f>IF(ISNUMBER(VLOOKUP(E271,InteresPres!$B$2:$W$14,Prestaciones!C271-1997+2,0)),VLOOKUP(E271,InteresPres!$B$2:$W$14,Prestaciones!C271-1997+2,0),"0")/100</f>
        <v>0</v>
      </c>
      <c r="S271" s="323">
        <f t="shared" si="71"/>
        <v>0</v>
      </c>
      <c r="T271" s="323">
        <f t="shared" si="72"/>
        <v>0</v>
      </c>
      <c r="U271" s="5"/>
    </row>
    <row r="272" spans="2:21" x14ac:dyDescent="0.25">
      <c r="B272" s="4"/>
      <c r="C272" s="108">
        <f t="shared" si="63"/>
        <v>2032</v>
      </c>
      <c r="D272" s="109">
        <f t="shared" ref="D272:D335" si="73">IF(D271=12,1,D271+1)</f>
        <v>9</v>
      </c>
      <c r="E272" s="110" t="str">
        <f>VLOOKUP(D272,FECHAS!$A$3:$B$14,2,0)</f>
        <v>Septiembre</v>
      </c>
      <c r="F272" s="319"/>
      <c r="G272" s="108">
        <f t="shared" si="64"/>
        <v>21</v>
      </c>
      <c r="H272" s="108">
        <f t="shared" si="62"/>
        <v>6</v>
      </c>
      <c r="I272" s="111">
        <f t="shared" ref="I272:I335" si="74">lottt192(G272,H271)</f>
        <v>0</v>
      </c>
      <c r="J272" s="111">
        <v>5</v>
      </c>
      <c r="K272" s="111">
        <f t="shared" si="65"/>
        <v>0</v>
      </c>
      <c r="L272" s="111">
        <f t="shared" si="66"/>
        <v>0</v>
      </c>
      <c r="M272" s="143" t="str">
        <f t="shared" si="67"/>
        <v>LOTTT</v>
      </c>
      <c r="N272" s="108">
        <f t="shared" si="68"/>
        <v>0</v>
      </c>
      <c r="O272" s="321">
        <f t="shared" si="69"/>
        <v>0</v>
      </c>
      <c r="P272" s="322"/>
      <c r="Q272" s="321">
        <f t="shared" si="70"/>
        <v>0</v>
      </c>
      <c r="R272" s="173">
        <f>IF(ISNUMBER(VLOOKUP(E272,InteresPres!$B$2:$W$14,Prestaciones!C272-1997+2,0)),VLOOKUP(E272,InteresPres!$B$2:$W$14,Prestaciones!C272-1997+2,0),"0")/100</f>
        <v>0</v>
      </c>
      <c r="S272" s="323">
        <f t="shared" si="71"/>
        <v>0</v>
      </c>
      <c r="T272" s="323">
        <f t="shared" si="72"/>
        <v>0</v>
      </c>
      <c r="U272" s="5"/>
    </row>
    <row r="273" spans="2:21" x14ac:dyDescent="0.25">
      <c r="B273" s="4"/>
      <c r="C273" s="108">
        <f t="shared" si="63"/>
        <v>2032</v>
      </c>
      <c r="D273" s="109">
        <f t="shared" si="73"/>
        <v>10</v>
      </c>
      <c r="E273" s="110" t="str">
        <f>VLOOKUP(D273,FECHAS!$A$3:$B$14,2,0)</f>
        <v>Octubre</v>
      </c>
      <c r="F273" s="319"/>
      <c r="G273" s="108">
        <f t="shared" si="64"/>
        <v>21</v>
      </c>
      <c r="H273" s="108">
        <f t="shared" si="62"/>
        <v>7</v>
      </c>
      <c r="I273" s="111">
        <f t="shared" si="74"/>
        <v>0</v>
      </c>
      <c r="J273" s="111">
        <v>5</v>
      </c>
      <c r="K273" s="111">
        <f t="shared" si="65"/>
        <v>15</v>
      </c>
      <c r="L273" s="111">
        <f t="shared" si="66"/>
        <v>0</v>
      </c>
      <c r="M273" s="143" t="str">
        <f t="shared" si="67"/>
        <v>LOTTT</v>
      </c>
      <c r="N273" s="108">
        <f t="shared" si="68"/>
        <v>15</v>
      </c>
      <c r="O273" s="321">
        <f t="shared" si="69"/>
        <v>0</v>
      </c>
      <c r="P273" s="322"/>
      <c r="Q273" s="321">
        <f t="shared" si="70"/>
        <v>0</v>
      </c>
      <c r="R273" s="173">
        <f>IF(ISNUMBER(VLOOKUP(E273,InteresPres!$B$2:$W$14,Prestaciones!C273-1997+2,0)),VLOOKUP(E273,InteresPres!$B$2:$W$14,Prestaciones!C273-1997+2,0),"0")/100</f>
        <v>0</v>
      </c>
      <c r="S273" s="323">
        <f t="shared" si="71"/>
        <v>0</v>
      </c>
      <c r="T273" s="323">
        <f t="shared" si="72"/>
        <v>0</v>
      </c>
      <c r="U273" s="5"/>
    </row>
    <row r="274" spans="2:21" x14ac:dyDescent="0.25">
      <c r="B274" s="4"/>
      <c r="C274" s="108">
        <f t="shared" si="63"/>
        <v>2032</v>
      </c>
      <c r="D274" s="109">
        <f t="shared" si="73"/>
        <v>11</v>
      </c>
      <c r="E274" s="110" t="str">
        <f>VLOOKUP(D274,FECHAS!$A$3:$B$14,2,0)</f>
        <v>Noviembre</v>
      </c>
      <c r="F274" s="319"/>
      <c r="G274" s="108">
        <f t="shared" si="64"/>
        <v>21</v>
      </c>
      <c r="H274" s="108">
        <f t="shared" si="62"/>
        <v>8</v>
      </c>
      <c r="I274" s="111">
        <f t="shared" si="74"/>
        <v>0</v>
      </c>
      <c r="J274" s="111">
        <v>5</v>
      </c>
      <c r="K274" s="111">
        <f t="shared" si="65"/>
        <v>0</v>
      </c>
      <c r="L274" s="111">
        <f t="shared" si="66"/>
        <v>0</v>
      </c>
      <c r="M274" s="143" t="str">
        <f t="shared" si="67"/>
        <v>LOTTT</v>
      </c>
      <c r="N274" s="108">
        <f t="shared" si="68"/>
        <v>0</v>
      </c>
      <c r="O274" s="321">
        <f t="shared" si="69"/>
        <v>0</v>
      </c>
      <c r="P274" s="322"/>
      <c r="Q274" s="321">
        <f t="shared" si="70"/>
        <v>0</v>
      </c>
      <c r="R274" s="173">
        <f>IF(ISNUMBER(VLOOKUP(E274,InteresPres!$B$2:$W$14,Prestaciones!C274-1997+2,0)),VLOOKUP(E274,InteresPres!$B$2:$W$14,Prestaciones!C274-1997+2,0),"0")/100</f>
        <v>0</v>
      </c>
      <c r="S274" s="323">
        <f t="shared" si="71"/>
        <v>0</v>
      </c>
      <c r="T274" s="323">
        <f t="shared" si="72"/>
        <v>0</v>
      </c>
      <c r="U274" s="5"/>
    </row>
    <row r="275" spans="2:21" x14ac:dyDescent="0.25">
      <c r="B275" s="4"/>
      <c r="C275" s="108">
        <f t="shared" si="63"/>
        <v>2032</v>
      </c>
      <c r="D275" s="109">
        <f t="shared" si="73"/>
        <v>12</v>
      </c>
      <c r="E275" s="110" t="str">
        <f>VLOOKUP(D275,FECHAS!$A$3:$B$14,2,0)</f>
        <v>Diciembre</v>
      </c>
      <c r="F275" s="319"/>
      <c r="G275" s="108">
        <f t="shared" si="64"/>
        <v>21</v>
      </c>
      <c r="H275" s="108">
        <f t="shared" si="62"/>
        <v>9</v>
      </c>
      <c r="I275" s="111">
        <f t="shared" si="74"/>
        <v>0</v>
      </c>
      <c r="J275" s="111">
        <v>5</v>
      </c>
      <c r="K275" s="111">
        <f t="shared" si="65"/>
        <v>0</v>
      </c>
      <c r="L275" s="111">
        <f t="shared" si="66"/>
        <v>0</v>
      </c>
      <c r="M275" s="143" t="str">
        <f t="shared" si="67"/>
        <v>LOTTT</v>
      </c>
      <c r="N275" s="108">
        <f t="shared" si="68"/>
        <v>0</v>
      </c>
      <c r="O275" s="321">
        <f t="shared" si="69"/>
        <v>0</v>
      </c>
      <c r="P275" s="322"/>
      <c r="Q275" s="321">
        <f t="shared" si="70"/>
        <v>0</v>
      </c>
      <c r="R275" s="173">
        <f>IF(ISNUMBER(VLOOKUP(E275,InteresPres!$B$2:$W$14,Prestaciones!C275-1997+2,0)),VLOOKUP(E275,InteresPres!$B$2:$W$14,Prestaciones!C275-1997+2,0),"0")/100</f>
        <v>0</v>
      </c>
      <c r="S275" s="323">
        <f t="shared" si="71"/>
        <v>0</v>
      </c>
      <c r="T275" s="323">
        <f t="shared" si="72"/>
        <v>0</v>
      </c>
      <c r="U275" s="5"/>
    </row>
    <row r="276" spans="2:21" x14ac:dyDescent="0.25">
      <c r="B276" s="4"/>
      <c r="C276" s="108">
        <f t="shared" si="63"/>
        <v>2033</v>
      </c>
      <c r="D276" s="109">
        <f t="shared" si="73"/>
        <v>1</v>
      </c>
      <c r="E276" s="110" t="str">
        <f>VLOOKUP(D276,FECHAS!$A$3:$B$14,2,0)</f>
        <v>Enero</v>
      </c>
      <c r="F276" s="319"/>
      <c r="G276" s="108">
        <f t="shared" si="64"/>
        <v>21</v>
      </c>
      <c r="H276" s="108">
        <f t="shared" si="62"/>
        <v>10</v>
      </c>
      <c r="I276" s="111">
        <f t="shared" si="74"/>
        <v>0</v>
      </c>
      <c r="J276" s="111">
        <v>5</v>
      </c>
      <c r="K276" s="111">
        <f t="shared" si="65"/>
        <v>15</v>
      </c>
      <c r="L276" s="111">
        <f t="shared" si="66"/>
        <v>0</v>
      </c>
      <c r="M276" s="143" t="str">
        <f t="shared" si="67"/>
        <v>LOTTT</v>
      </c>
      <c r="N276" s="108">
        <f t="shared" si="68"/>
        <v>15</v>
      </c>
      <c r="O276" s="321">
        <f t="shared" si="69"/>
        <v>0</v>
      </c>
      <c r="P276" s="322"/>
      <c r="Q276" s="321">
        <f t="shared" si="70"/>
        <v>0</v>
      </c>
      <c r="R276" s="173">
        <f>IF(ISNUMBER(VLOOKUP(E276,InteresPres!$B$2:$W$14,Prestaciones!C276-1997+2,0)),VLOOKUP(E276,InteresPres!$B$2:$W$14,Prestaciones!C276-1997+2,0),"0")/100</f>
        <v>0</v>
      </c>
      <c r="S276" s="323">
        <f t="shared" si="71"/>
        <v>0</v>
      </c>
      <c r="T276" s="323">
        <f t="shared" si="72"/>
        <v>0</v>
      </c>
      <c r="U276" s="5"/>
    </row>
    <row r="277" spans="2:21" x14ac:dyDescent="0.25">
      <c r="B277" s="4"/>
      <c r="C277" s="108">
        <f t="shared" si="63"/>
        <v>2033</v>
      </c>
      <c r="D277" s="109">
        <f t="shared" si="73"/>
        <v>2</v>
      </c>
      <c r="E277" s="110" t="str">
        <f>VLOOKUP(D277,FECHAS!$A$3:$B$14,2,0)</f>
        <v>Febrero</v>
      </c>
      <c r="F277" s="319"/>
      <c r="G277" s="108">
        <f t="shared" si="64"/>
        <v>21</v>
      </c>
      <c r="H277" s="108">
        <f t="shared" si="62"/>
        <v>11</v>
      </c>
      <c r="I277" s="111">
        <f t="shared" si="74"/>
        <v>0</v>
      </c>
      <c r="J277" s="111">
        <v>5</v>
      </c>
      <c r="K277" s="111">
        <f t="shared" si="65"/>
        <v>0</v>
      </c>
      <c r="L277" s="111">
        <f t="shared" si="66"/>
        <v>0</v>
      </c>
      <c r="M277" s="143" t="str">
        <f t="shared" si="67"/>
        <v>LOTTT</v>
      </c>
      <c r="N277" s="108">
        <f t="shared" si="68"/>
        <v>0</v>
      </c>
      <c r="O277" s="321">
        <f t="shared" si="69"/>
        <v>0</v>
      </c>
      <c r="P277" s="322"/>
      <c r="Q277" s="321">
        <f t="shared" si="70"/>
        <v>0</v>
      </c>
      <c r="R277" s="173">
        <f>IF(ISNUMBER(VLOOKUP(E277,InteresPres!$B$2:$W$14,Prestaciones!C277-1997+2,0)),VLOOKUP(E277,InteresPres!$B$2:$W$14,Prestaciones!C277-1997+2,0),"0")/100</f>
        <v>0</v>
      </c>
      <c r="S277" s="323">
        <f t="shared" si="71"/>
        <v>0</v>
      </c>
      <c r="T277" s="323">
        <f t="shared" si="72"/>
        <v>0</v>
      </c>
      <c r="U277" s="5"/>
    </row>
    <row r="278" spans="2:21" x14ac:dyDescent="0.25">
      <c r="B278" s="4"/>
      <c r="C278" s="108">
        <f t="shared" si="63"/>
        <v>2033</v>
      </c>
      <c r="D278" s="109">
        <f t="shared" si="73"/>
        <v>3</v>
      </c>
      <c r="E278" s="110" t="str">
        <f>VLOOKUP(D278,FECHAS!$A$3:$B$14,2,0)</f>
        <v>Marzo</v>
      </c>
      <c r="F278" s="319"/>
      <c r="G278" s="108">
        <f t="shared" si="64"/>
        <v>22</v>
      </c>
      <c r="H278" s="108">
        <f t="shared" si="62"/>
        <v>0</v>
      </c>
      <c r="I278" s="111">
        <f t="shared" si="74"/>
        <v>30</v>
      </c>
      <c r="J278" s="111">
        <v>5</v>
      </c>
      <c r="K278" s="111">
        <f t="shared" si="65"/>
        <v>0</v>
      </c>
      <c r="L278" s="111">
        <f t="shared" si="66"/>
        <v>0</v>
      </c>
      <c r="M278" s="143" t="str">
        <f t="shared" si="67"/>
        <v>LOTTT</v>
      </c>
      <c r="N278" s="108">
        <f t="shared" si="68"/>
        <v>30</v>
      </c>
      <c r="O278" s="321">
        <f t="shared" si="69"/>
        <v>0</v>
      </c>
      <c r="P278" s="322"/>
      <c r="Q278" s="321">
        <f t="shared" si="70"/>
        <v>0</v>
      </c>
      <c r="R278" s="173">
        <f>IF(ISNUMBER(VLOOKUP(E278,InteresPres!$B$2:$W$14,Prestaciones!C278-1997+2,0)),VLOOKUP(E278,InteresPres!$B$2:$W$14,Prestaciones!C278-1997+2,0),"0")/100</f>
        <v>0</v>
      </c>
      <c r="S278" s="323">
        <f t="shared" si="71"/>
        <v>0</v>
      </c>
      <c r="T278" s="323">
        <f t="shared" si="72"/>
        <v>0</v>
      </c>
      <c r="U278" s="5"/>
    </row>
    <row r="279" spans="2:21" x14ac:dyDescent="0.25">
      <c r="B279" s="4"/>
      <c r="C279" s="108">
        <f t="shared" si="63"/>
        <v>2033</v>
      </c>
      <c r="D279" s="109">
        <f t="shared" si="73"/>
        <v>4</v>
      </c>
      <c r="E279" s="110" t="str">
        <f>VLOOKUP(D279,FECHAS!$A$3:$B$14,2,0)</f>
        <v>Abril</v>
      </c>
      <c r="F279" s="319"/>
      <c r="G279" s="108">
        <f t="shared" si="64"/>
        <v>22</v>
      </c>
      <c r="H279" s="108">
        <f t="shared" si="62"/>
        <v>1</v>
      </c>
      <c r="I279" s="111">
        <f t="shared" si="74"/>
        <v>0</v>
      </c>
      <c r="J279" s="111">
        <v>5</v>
      </c>
      <c r="K279" s="111">
        <f t="shared" si="65"/>
        <v>15</v>
      </c>
      <c r="L279" s="111">
        <f t="shared" si="66"/>
        <v>0</v>
      </c>
      <c r="M279" s="143" t="str">
        <f t="shared" si="67"/>
        <v>LOTTT</v>
      </c>
      <c r="N279" s="108">
        <f t="shared" si="68"/>
        <v>15</v>
      </c>
      <c r="O279" s="321">
        <f t="shared" si="69"/>
        <v>0</v>
      </c>
      <c r="P279" s="322"/>
      <c r="Q279" s="321">
        <f t="shared" si="70"/>
        <v>0</v>
      </c>
      <c r="R279" s="173">
        <f>IF(ISNUMBER(VLOOKUP(E279,InteresPres!$B$2:$W$14,Prestaciones!C279-1997+2,0)),VLOOKUP(E279,InteresPres!$B$2:$W$14,Prestaciones!C279-1997+2,0),"0")/100</f>
        <v>0</v>
      </c>
      <c r="S279" s="323">
        <f t="shared" si="71"/>
        <v>0</v>
      </c>
      <c r="T279" s="323">
        <f t="shared" si="72"/>
        <v>0</v>
      </c>
      <c r="U279" s="5"/>
    </row>
    <row r="280" spans="2:21" x14ac:dyDescent="0.25">
      <c r="B280" s="4"/>
      <c r="C280" s="108">
        <f t="shared" si="63"/>
        <v>2033</v>
      </c>
      <c r="D280" s="109">
        <f t="shared" si="73"/>
        <v>5</v>
      </c>
      <c r="E280" s="110" t="str">
        <f>VLOOKUP(D280,FECHAS!$A$3:$B$14,2,0)</f>
        <v>Mayo</v>
      </c>
      <c r="F280" s="319"/>
      <c r="G280" s="108">
        <f t="shared" si="64"/>
        <v>22</v>
      </c>
      <c r="H280" s="108">
        <f t="shared" si="62"/>
        <v>2</v>
      </c>
      <c r="I280" s="111">
        <f t="shared" si="74"/>
        <v>0</v>
      </c>
      <c r="J280" s="111">
        <v>5</v>
      </c>
      <c r="K280" s="111">
        <f t="shared" si="65"/>
        <v>0</v>
      </c>
      <c r="L280" s="111">
        <f t="shared" si="66"/>
        <v>0</v>
      </c>
      <c r="M280" s="143" t="str">
        <f t="shared" si="67"/>
        <v>LOTTT</v>
      </c>
      <c r="N280" s="108">
        <f t="shared" si="68"/>
        <v>0</v>
      </c>
      <c r="O280" s="321">
        <f t="shared" si="69"/>
        <v>0</v>
      </c>
      <c r="P280" s="322"/>
      <c r="Q280" s="321">
        <f t="shared" si="70"/>
        <v>0</v>
      </c>
      <c r="R280" s="173">
        <f>IF(ISNUMBER(VLOOKUP(E280,InteresPres!$B$2:$W$14,Prestaciones!C280-1997+2,0)),VLOOKUP(E280,InteresPres!$B$2:$W$14,Prestaciones!C280-1997+2,0),"0")/100</f>
        <v>0</v>
      </c>
      <c r="S280" s="323">
        <f t="shared" si="71"/>
        <v>0</v>
      </c>
      <c r="T280" s="323">
        <f t="shared" si="72"/>
        <v>0</v>
      </c>
      <c r="U280" s="5"/>
    </row>
    <row r="281" spans="2:21" x14ac:dyDescent="0.25">
      <c r="B281" s="4"/>
      <c r="C281" s="108">
        <f t="shared" si="63"/>
        <v>2033</v>
      </c>
      <c r="D281" s="109">
        <f t="shared" si="73"/>
        <v>6</v>
      </c>
      <c r="E281" s="110" t="str">
        <f>VLOOKUP(D281,FECHAS!$A$3:$B$14,2,0)</f>
        <v>Junio</v>
      </c>
      <c r="F281" s="319"/>
      <c r="G281" s="108">
        <f t="shared" si="64"/>
        <v>22</v>
      </c>
      <c r="H281" s="108">
        <f t="shared" si="62"/>
        <v>3</v>
      </c>
      <c r="I281" s="111">
        <f t="shared" si="74"/>
        <v>0</v>
      </c>
      <c r="J281" s="111">
        <v>5</v>
      </c>
      <c r="K281" s="111">
        <f t="shared" si="65"/>
        <v>0</v>
      </c>
      <c r="L281" s="111">
        <f t="shared" si="66"/>
        <v>0</v>
      </c>
      <c r="M281" s="143" t="str">
        <f t="shared" si="67"/>
        <v>LOTTT</v>
      </c>
      <c r="N281" s="108">
        <f t="shared" si="68"/>
        <v>0</v>
      </c>
      <c r="O281" s="321">
        <f t="shared" si="69"/>
        <v>0</v>
      </c>
      <c r="P281" s="322"/>
      <c r="Q281" s="321">
        <f t="shared" si="70"/>
        <v>0</v>
      </c>
      <c r="R281" s="173">
        <f>IF(ISNUMBER(VLOOKUP(E281,InteresPres!$B$2:$W$14,Prestaciones!C281-1997+2,0)),VLOOKUP(E281,InteresPres!$B$2:$W$14,Prestaciones!C281-1997+2,0),"0")/100</f>
        <v>0</v>
      </c>
      <c r="S281" s="323">
        <f t="shared" si="71"/>
        <v>0</v>
      </c>
      <c r="T281" s="323">
        <f t="shared" si="72"/>
        <v>0</v>
      </c>
      <c r="U281" s="5"/>
    </row>
    <row r="282" spans="2:21" x14ac:dyDescent="0.25">
      <c r="B282" s="4"/>
      <c r="C282" s="108">
        <f t="shared" si="63"/>
        <v>2033</v>
      </c>
      <c r="D282" s="109">
        <f t="shared" si="73"/>
        <v>7</v>
      </c>
      <c r="E282" s="110" t="str">
        <f>VLOOKUP(D282,FECHAS!$A$3:$B$14,2,0)</f>
        <v>Julio</v>
      </c>
      <c r="F282" s="319"/>
      <c r="G282" s="108">
        <f t="shared" si="64"/>
        <v>22</v>
      </c>
      <c r="H282" s="108">
        <f t="shared" si="62"/>
        <v>4</v>
      </c>
      <c r="I282" s="111">
        <f t="shared" si="74"/>
        <v>0</v>
      </c>
      <c r="J282" s="111">
        <v>5</v>
      </c>
      <c r="K282" s="111">
        <f t="shared" si="65"/>
        <v>15</v>
      </c>
      <c r="L282" s="111">
        <f t="shared" si="66"/>
        <v>0</v>
      </c>
      <c r="M282" s="143" t="str">
        <f t="shared" si="67"/>
        <v>LOTTT</v>
      </c>
      <c r="N282" s="108">
        <f t="shared" si="68"/>
        <v>15</v>
      </c>
      <c r="O282" s="321">
        <f t="shared" si="69"/>
        <v>0</v>
      </c>
      <c r="P282" s="322"/>
      <c r="Q282" s="321">
        <f t="shared" si="70"/>
        <v>0</v>
      </c>
      <c r="R282" s="173">
        <f>IF(ISNUMBER(VLOOKUP(E282,InteresPres!$B$2:$W$14,Prestaciones!C282-1997+2,0)),VLOOKUP(E282,InteresPres!$B$2:$W$14,Prestaciones!C282-1997+2,0),"0")/100</f>
        <v>0</v>
      </c>
      <c r="S282" s="323">
        <f t="shared" si="71"/>
        <v>0</v>
      </c>
      <c r="T282" s="323">
        <f t="shared" si="72"/>
        <v>0</v>
      </c>
      <c r="U282" s="5"/>
    </row>
    <row r="283" spans="2:21" x14ac:dyDescent="0.25">
      <c r="B283" s="4"/>
      <c r="C283" s="108">
        <f t="shared" si="63"/>
        <v>2033</v>
      </c>
      <c r="D283" s="109">
        <f t="shared" si="73"/>
        <v>8</v>
      </c>
      <c r="E283" s="110" t="str">
        <f>VLOOKUP(D283,FECHAS!$A$3:$B$14,2,0)</f>
        <v>Agosto</v>
      </c>
      <c r="F283" s="319"/>
      <c r="G283" s="108">
        <f t="shared" si="64"/>
        <v>22</v>
      </c>
      <c r="H283" s="108">
        <f t="shared" si="62"/>
        <v>5</v>
      </c>
      <c r="I283" s="111">
        <f t="shared" si="74"/>
        <v>0</v>
      </c>
      <c r="J283" s="111">
        <v>5</v>
      </c>
      <c r="K283" s="111">
        <f t="shared" si="65"/>
        <v>0</v>
      </c>
      <c r="L283" s="111">
        <f t="shared" si="66"/>
        <v>0</v>
      </c>
      <c r="M283" s="143" t="str">
        <f t="shared" si="67"/>
        <v>LOTTT</v>
      </c>
      <c r="N283" s="108">
        <f t="shared" si="68"/>
        <v>0</v>
      </c>
      <c r="O283" s="321">
        <f t="shared" si="69"/>
        <v>0</v>
      </c>
      <c r="P283" s="322"/>
      <c r="Q283" s="321">
        <f t="shared" si="70"/>
        <v>0</v>
      </c>
      <c r="R283" s="173">
        <f>IF(ISNUMBER(VLOOKUP(E283,InteresPres!$B$2:$W$14,Prestaciones!C283-1997+2,0)),VLOOKUP(E283,InteresPres!$B$2:$W$14,Prestaciones!C283-1997+2,0),"0")/100</f>
        <v>0</v>
      </c>
      <c r="S283" s="323">
        <f t="shared" si="71"/>
        <v>0</v>
      </c>
      <c r="T283" s="323">
        <f t="shared" si="72"/>
        <v>0</v>
      </c>
      <c r="U283" s="5"/>
    </row>
    <row r="284" spans="2:21" x14ac:dyDescent="0.25">
      <c r="B284" s="4"/>
      <c r="C284" s="108">
        <f t="shared" si="63"/>
        <v>2033</v>
      </c>
      <c r="D284" s="109">
        <f t="shared" si="73"/>
        <v>9</v>
      </c>
      <c r="E284" s="110" t="str">
        <f>VLOOKUP(D284,FECHAS!$A$3:$B$14,2,0)</f>
        <v>Septiembre</v>
      </c>
      <c r="F284" s="319"/>
      <c r="G284" s="108">
        <f t="shared" si="64"/>
        <v>22</v>
      </c>
      <c r="H284" s="108">
        <f t="shared" si="62"/>
        <v>6</v>
      </c>
      <c r="I284" s="111">
        <f t="shared" si="74"/>
        <v>0</v>
      </c>
      <c r="J284" s="111">
        <v>5</v>
      </c>
      <c r="K284" s="111">
        <f t="shared" si="65"/>
        <v>0</v>
      </c>
      <c r="L284" s="111">
        <f t="shared" si="66"/>
        <v>0</v>
      </c>
      <c r="M284" s="143" t="str">
        <f t="shared" si="67"/>
        <v>LOTTT</v>
      </c>
      <c r="N284" s="108">
        <f t="shared" si="68"/>
        <v>0</v>
      </c>
      <c r="O284" s="321">
        <f t="shared" si="69"/>
        <v>0</v>
      </c>
      <c r="P284" s="322"/>
      <c r="Q284" s="321">
        <f t="shared" si="70"/>
        <v>0</v>
      </c>
      <c r="R284" s="173">
        <f>IF(ISNUMBER(VLOOKUP(E284,InteresPres!$B$2:$W$14,Prestaciones!C284-1997+2,0)),VLOOKUP(E284,InteresPres!$B$2:$W$14,Prestaciones!C284-1997+2,0),"0")/100</f>
        <v>0</v>
      </c>
      <c r="S284" s="323">
        <f t="shared" si="71"/>
        <v>0</v>
      </c>
      <c r="T284" s="323">
        <f t="shared" si="72"/>
        <v>0</v>
      </c>
      <c r="U284" s="5"/>
    </row>
    <row r="285" spans="2:21" x14ac:dyDescent="0.25">
      <c r="B285" s="4"/>
      <c r="C285" s="108">
        <f t="shared" si="63"/>
        <v>2033</v>
      </c>
      <c r="D285" s="109">
        <f t="shared" si="73"/>
        <v>10</v>
      </c>
      <c r="E285" s="110" t="str">
        <f>VLOOKUP(D285,FECHAS!$A$3:$B$14,2,0)</f>
        <v>Octubre</v>
      </c>
      <c r="F285" s="319"/>
      <c r="G285" s="108">
        <f t="shared" si="64"/>
        <v>22</v>
      </c>
      <c r="H285" s="108">
        <f t="shared" si="62"/>
        <v>7</v>
      </c>
      <c r="I285" s="111">
        <f t="shared" si="74"/>
        <v>0</v>
      </c>
      <c r="J285" s="111">
        <v>5</v>
      </c>
      <c r="K285" s="111">
        <f t="shared" si="65"/>
        <v>15</v>
      </c>
      <c r="L285" s="111">
        <f t="shared" si="66"/>
        <v>0</v>
      </c>
      <c r="M285" s="143" t="str">
        <f t="shared" si="67"/>
        <v>LOTTT</v>
      </c>
      <c r="N285" s="108">
        <f t="shared" si="68"/>
        <v>15</v>
      </c>
      <c r="O285" s="321">
        <f t="shared" si="69"/>
        <v>0</v>
      </c>
      <c r="P285" s="322"/>
      <c r="Q285" s="321">
        <f t="shared" si="70"/>
        <v>0</v>
      </c>
      <c r="R285" s="173">
        <f>IF(ISNUMBER(VLOOKUP(E285,InteresPres!$B$2:$W$14,Prestaciones!C285-1997+2,0)),VLOOKUP(E285,InteresPres!$B$2:$W$14,Prestaciones!C285-1997+2,0),"0")/100</f>
        <v>0</v>
      </c>
      <c r="S285" s="323">
        <f t="shared" si="71"/>
        <v>0</v>
      </c>
      <c r="T285" s="323">
        <f t="shared" si="72"/>
        <v>0</v>
      </c>
      <c r="U285" s="5"/>
    </row>
    <row r="286" spans="2:21" x14ac:dyDescent="0.25">
      <c r="B286" s="4"/>
      <c r="C286" s="108">
        <f t="shared" si="63"/>
        <v>2033</v>
      </c>
      <c r="D286" s="109">
        <f t="shared" si="73"/>
        <v>11</v>
      </c>
      <c r="E286" s="110" t="str">
        <f>VLOOKUP(D286,FECHAS!$A$3:$B$14,2,0)</f>
        <v>Noviembre</v>
      </c>
      <c r="F286" s="319"/>
      <c r="G286" s="108">
        <f t="shared" si="64"/>
        <v>22</v>
      </c>
      <c r="H286" s="108">
        <f t="shared" si="62"/>
        <v>8</v>
      </c>
      <c r="I286" s="111">
        <f t="shared" si="74"/>
        <v>0</v>
      </c>
      <c r="J286" s="111">
        <v>5</v>
      </c>
      <c r="K286" s="111">
        <f t="shared" si="65"/>
        <v>0</v>
      </c>
      <c r="L286" s="111">
        <f t="shared" si="66"/>
        <v>0</v>
      </c>
      <c r="M286" s="143" t="str">
        <f t="shared" si="67"/>
        <v>LOTTT</v>
      </c>
      <c r="N286" s="108">
        <f t="shared" si="68"/>
        <v>0</v>
      </c>
      <c r="O286" s="321">
        <f t="shared" si="69"/>
        <v>0</v>
      </c>
      <c r="P286" s="322"/>
      <c r="Q286" s="321">
        <f t="shared" si="70"/>
        <v>0</v>
      </c>
      <c r="R286" s="173">
        <f>IF(ISNUMBER(VLOOKUP(E286,InteresPres!$B$2:$W$14,Prestaciones!C286-1997+2,0)),VLOOKUP(E286,InteresPres!$B$2:$W$14,Prestaciones!C286-1997+2,0),"0")/100</f>
        <v>0</v>
      </c>
      <c r="S286" s="323">
        <f t="shared" si="71"/>
        <v>0</v>
      </c>
      <c r="T286" s="323">
        <f t="shared" si="72"/>
        <v>0</v>
      </c>
      <c r="U286" s="5"/>
    </row>
    <row r="287" spans="2:21" x14ac:dyDescent="0.25">
      <c r="B287" s="4"/>
      <c r="C287" s="108">
        <f t="shared" si="63"/>
        <v>2033</v>
      </c>
      <c r="D287" s="109">
        <f t="shared" si="73"/>
        <v>12</v>
      </c>
      <c r="E287" s="110" t="str">
        <f>VLOOKUP(D287,FECHAS!$A$3:$B$14,2,0)</f>
        <v>Diciembre</v>
      </c>
      <c r="F287" s="319"/>
      <c r="G287" s="108">
        <f t="shared" si="64"/>
        <v>22</v>
      </c>
      <c r="H287" s="108">
        <f t="shared" si="62"/>
        <v>9</v>
      </c>
      <c r="I287" s="111">
        <f t="shared" si="74"/>
        <v>0</v>
      </c>
      <c r="J287" s="111">
        <v>5</v>
      </c>
      <c r="K287" s="111">
        <f t="shared" si="65"/>
        <v>0</v>
      </c>
      <c r="L287" s="111">
        <f t="shared" si="66"/>
        <v>0</v>
      </c>
      <c r="M287" s="143" t="str">
        <f t="shared" si="67"/>
        <v>LOTTT</v>
      </c>
      <c r="N287" s="108">
        <f t="shared" si="68"/>
        <v>0</v>
      </c>
      <c r="O287" s="321">
        <f t="shared" si="69"/>
        <v>0</v>
      </c>
      <c r="P287" s="322"/>
      <c r="Q287" s="321">
        <f t="shared" si="70"/>
        <v>0</v>
      </c>
      <c r="R287" s="173">
        <f>IF(ISNUMBER(VLOOKUP(E287,InteresPres!$B$2:$W$14,Prestaciones!C287-1997+2,0)),VLOOKUP(E287,InteresPres!$B$2:$W$14,Prestaciones!C287-1997+2,0),"0")/100</f>
        <v>0</v>
      </c>
      <c r="S287" s="323">
        <f t="shared" si="71"/>
        <v>0</v>
      </c>
      <c r="T287" s="323">
        <f t="shared" si="72"/>
        <v>0</v>
      </c>
      <c r="U287" s="5"/>
    </row>
    <row r="288" spans="2:21" x14ac:dyDescent="0.25">
      <c r="B288" s="4"/>
      <c r="C288" s="108">
        <f t="shared" si="63"/>
        <v>2034</v>
      </c>
      <c r="D288" s="109">
        <f t="shared" si="73"/>
        <v>1</v>
      </c>
      <c r="E288" s="110" t="str">
        <f>VLOOKUP(D288,FECHAS!$A$3:$B$14,2,0)</f>
        <v>Enero</v>
      </c>
      <c r="F288" s="319"/>
      <c r="G288" s="108">
        <f t="shared" si="64"/>
        <v>22</v>
      </c>
      <c r="H288" s="108">
        <f t="shared" si="62"/>
        <v>10</v>
      </c>
      <c r="I288" s="111">
        <f t="shared" si="74"/>
        <v>0</v>
      </c>
      <c r="J288" s="111">
        <v>5</v>
      </c>
      <c r="K288" s="111">
        <f t="shared" si="65"/>
        <v>15</v>
      </c>
      <c r="L288" s="111">
        <f t="shared" si="66"/>
        <v>0</v>
      </c>
      <c r="M288" s="143" t="str">
        <f t="shared" si="67"/>
        <v>LOTTT</v>
      </c>
      <c r="N288" s="108">
        <f t="shared" si="68"/>
        <v>15</v>
      </c>
      <c r="O288" s="321">
        <f t="shared" si="69"/>
        <v>0</v>
      </c>
      <c r="P288" s="322"/>
      <c r="Q288" s="321">
        <f t="shared" si="70"/>
        <v>0</v>
      </c>
      <c r="R288" s="173">
        <f>IF(ISNUMBER(VLOOKUP(E288,InteresPres!$B$2:$W$14,Prestaciones!C288-1997+2,0)),VLOOKUP(E288,InteresPres!$B$2:$W$14,Prestaciones!C288-1997+2,0),"0")/100</f>
        <v>0</v>
      </c>
      <c r="S288" s="323">
        <f t="shared" si="71"/>
        <v>0</v>
      </c>
      <c r="T288" s="323">
        <f t="shared" si="72"/>
        <v>0</v>
      </c>
      <c r="U288" s="5"/>
    </row>
    <row r="289" spans="2:21" x14ac:dyDescent="0.25">
      <c r="B289" s="4"/>
      <c r="C289" s="108">
        <f t="shared" si="63"/>
        <v>2034</v>
      </c>
      <c r="D289" s="109">
        <f t="shared" si="73"/>
        <v>2</v>
      </c>
      <c r="E289" s="110" t="str">
        <f>VLOOKUP(D289,FECHAS!$A$3:$B$14,2,0)</f>
        <v>Febrero</v>
      </c>
      <c r="F289" s="319"/>
      <c r="G289" s="108">
        <f t="shared" si="64"/>
        <v>22</v>
      </c>
      <c r="H289" s="108">
        <f t="shared" si="62"/>
        <v>11</v>
      </c>
      <c r="I289" s="111">
        <f t="shared" si="74"/>
        <v>0</v>
      </c>
      <c r="J289" s="111">
        <v>5</v>
      </c>
      <c r="K289" s="111">
        <f t="shared" si="65"/>
        <v>0</v>
      </c>
      <c r="L289" s="111">
        <f t="shared" si="66"/>
        <v>0</v>
      </c>
      <c r="M289" s="143" t="str">
        <f t="shared" si="67"/>
        <v>LOTTT</v>
      </c>
      <c r="N289" s="108">
        <f t="shared" si="68"/>
        <v>0</v>
      </c>
      <c r="O289" s="321">
        <f t="shared" si="69"/>
        <v>0</v>
      </c>
      <c r="P289" s="322"/>
      <c r="Q289" s="321">
        <f t="shared" si="70"/>
        <v>0</v>
      </c>
      <c r="R289" s="173">
        <f>IF(ISNUMBER(VLOOKUP(E289,InteresPres!$B$2:$W$14,Prestaciones!C289-1997+2,0)),VLOOKUP(E289,InteresPres!$B$2:$W$14,Prestaciones!C289-1997+2,0),"0")/100</f>
        <v>0</v>
      </c>
      <c r="S289" s="323">
        <f t="shared" si="71"/>
        <v>0</v>
      </c>
      <c r="T289" s="323">
        <f t="shared" si="72"/>
        <v>0</v>
      </c>
      <c r="U289" s="5"/>
    </row>
    <row r="290" spans="2:21" x14ac:dyDescent="0.25">
      <c r="B290" s="4"/>
      <c r="C290" s="108">
        <f t="shared" si="63"/>
        <v>2034</v>
      </c>
      <c r="D290" s="109">
        <f t="shared" si="73"/>
        <v>3</v>
      </c>
      <c r="E290" s="110" t="str">
        <f>VLOOKUP(D290,FECHAS!$A$3:$B$14,2,0)</f>
        <v>Marzo</v>
      </c>
      <c r="F290" s="319"/>
      <c r="G290" s="108">
        <f t="shared" si="64"/>
        <v>23</v>
      </c>
      <c r="H290" s="108">
        <f t="shared" si="62"/>
        <v>0</v>
      </c>
      <c r="I290" s="111">
        <f t="shared" si="74"/>
        <v>30</v>
      </c>
      <c r="J290" s="111">
        <v>5</v>
      </c>
      <c r="K290" s="111">
        <f t="shared" si="65"/>
        <v>0</v>
      </c>
      <c r="L290" s="111">
        <f t="shared" si="66"/>
        <v>0</v>
      </c>
      <c r="M290" s="143" t="str">
        <f t="shared" si="67"/>
        <v>LOTTT</v>
      </c>
      <c r="N290" s="108">
        <f t="shared" si="68"/>
        <v>30</v>
      </c>
      <c r="O290" s="321">
        <f t="shared" si="69"/>
        <v>0</v>
      </c>
      <c r="P290" s="322"/>
      <c r="Q290" s="321">
        <f t="shared" si="70"/>
        <v>0</v>
      </c>
      <c r="R290" s="173">
        <f>IF(ISNUMBER(VLOOKUP(E290,InteresPres!$B$2:$W$14,Prestaciones!C290-1997+2,0)),VLOOKUP(E290,InteresPres!$B$2:$W$14,Prestaciones!C290-1997+2,0),"0")/100</f>
        <v>0</v>
      </c>
      <c r="S290" s="323">
        <f t="shared" si="71"/>
        <v>0</v>
      </c>
      <c r="T290" s="323">
        <f t="shared" si="72"/>
        <v>0</v>
      </c>
      <c r="U290" s="5"/>
    </row>
    <row r="291" spans="2:21" x14ac:dyDescent="0.25">
      <c r="B291" s="4"/>
      <c r="C291" s="108">
        <f t="shared" si="63"/>
        <v>2034</v>
      </c>
      <c r="D291" s="109">
        <f t="shared" si="73"/>
        <v>4</v>
      </c>
      <c r="E291" s="110" t="str">
        <f>VLOOKUP(D291,FECHAS!$A$3:$B$14,2,0)</f>
        <v>Abril</v>
      </c>
      <c r="F291" s="319"/>
      <c r="G291" s="108">
        <f t="shared" si="64"/>
        <v>23</v>
      </c>
      <c r="H291" s="108">
        <f t="shared" si="62"/>
        <v>1</v>
      </c>
      <c r="I291" s="111">
        <f t="shared" si="74"/>
        <v>0</v>
      </c>
      <c r="J291" s="111">
        <v>5</v>
      </c>
      <c r="K291" s="111">
        <f t="shared" si="65"/>
        <v>15</v>
      </c>
      <c r="L291" s="111">
        <f t="shared" si="66"/>
        <v>0</v>
      </c>
      <c r="M291" s="143" t="str">
        <f t="shared" si="67"/>
        <v>LOTTT</v>
      </c>
      <c r="N291" s="108">
        <f t="shared" si="68"/>
        <v>15</v>
      </c>
      <c r="O291" s="321">
        <f t="shared" si="69"/>
        <v>0</v>
      </c>
      <c r="P291" s="322"/>
      <c r="Q291" s="321">
        <f t="shared" si="70"/>
        <v>0</v>
      </c>
      <c r="R291" s="173">
        <f>IF(ISNUMBER(VLOOKUP(E291,InteresPres!$B$2:$W$14,Prestaciones!C291-1997+2,0)),VLOOKUP(E291,InteresPres!$B$2:$W$14,Prestaciones!C291-1997+2,0),"0")/100</f>
        <v>0</v>
      </c>
      <c r="S291" s="323">
        <f t="shared" si="71"/>
        <v>0</v>
      </c>
      <c r="T291" s="323">
        <f t="shared" si="72"/>
        <v>0</v>
      </c>
      <c r="U291" s="5"/>
    </row>
    <row r="292" spans="2:21" x14ac:dyDescent="0.25">
      <c r="B292" s="4"/>
      <c r="C292" s="108">
        <f t="shared" si="63"/>
        <v>2034</v>
      </c>
      <c r="D292" s="109">
        <f t="shared" si="73"/>
        <v>5</v>
      </c>
      <c r="E292" s="110" t="str">
        <f>VLOOKUP(D292,FECHAS!$A$3:$B$14,2,0)</f>
        <v>Mayo</v>
      </c>
      <c r="F292" s="319"/>
      <c r="G292" s="108">
        <f t="shared" si="64"/>
        <v>23</v>
      </c>
      <c r="H292" s="108">
        <f t="shared" si="62"/>
        <v>2</v>
      </c>
      <c r="I292" s="111">
        <f t="shared" si="74"/>
        <v>0</v>
      </c>
      <c r="J292" s="111">
        <v>5</v>
      </c>
      <c r="K292" s="111">
        <f t="shared" si="65"/>
        <v>0</v>
      </c>
      <c r="L292" s="111">
        <f t="shared" si="66"/>
        <v>0</v>
      </c>
      <c r="M292" s="143" t="str">
        <f t="shared" si="67"/>
        <v>LOTTT</v>
      </c>
      <c r="N292" s="108">
        <f t="shared" si="68"/>
        <v>0</v>
      </c>
      <c r="O292" s="321">
        <f t="shared" si="69"/>
        <v>0</v>
      </c>
      <c r="P292" s="322"/>
      <c r="Q292" s="321">
        <f t="shared" si="70"/>
        <v>0</v>
      </c>
      <c r="R292" s="173">
        <f>IF(ISNUMBER(VLOOKUP(E292,InteresPres!$B$2:$W$14,Prestaciones!C292-1997+2,0)),VLOOKUP(E292,InteresPres!$B$2:$W$14,Prestaciones!C292-1997+2,0),"0")/100</f>
        <v>0</v>
      </c>
      <c r="S292" s="323">
        <f t="shared" si="71"/>
        <v>0</v>
      </c>
      <c r="T292" s="323">
        <f t="shared" si="72"/>
        <v>0</v>
      </c>
      <c r="U292" s="5"/>
    </row>
    <row r="293" spans="2:21" x14ac:dyDescent="0.25">
      <c r="B293" s="4"/>
      <c r="C293" s="108">
        <f t="shared" si="63"/>
        <v>2034</v>
      </c>
      <c r="D293" s="109">
        <f t="shared" si="73"/>
        <v>6</v>
      </c>
      <c r="E293" s="110" t="str">
        <f>VLOOKUP(D293,FECHAS!$A$3:$B$14,2,0)</f>
        <v>Junio</v>
      </c>
      <c r="F293" s="319"/>
      <c r="G293" s="108">
        <f t="shared" si="64"/>
        <v>23</v>
      </c>
      <c r="H293" s="108">
        <f t="shared" si="62"/>
        <v>3</v>
      </c>
      <c r="I293" s="111">
        <f t="shared" si="74"/>
        <v>0</v>
      </c>
      <c r="J293" s="111">
        <v>5</v>
      </c>
      <c r="K293" s="111">
        <f t="shared" si="65"/>
        <v>0</v>
      </c>
      <c r="L293" s="111">
        <f t="shared" si="66"/>
        <v>0</v>
      </c>
      <c r="M293" s="143" t="str">
        <f t="shared" si="67"/>
        <v>LOTTT</v>
      </c>
      <c r="N293" s="108">
        <f t="shared" si="68"/>
        <v>0</v>
      </c>
      <c r="O293" s="321">
        <f t="shared" si="69"/>
        <v>0</v>
      </c>
      <c r="P293" s="322"/>
      <c r="Q293" s="321">
        <f t="shared" si="70"/>
        <v>0</v>
      </c>
      <c r="R293" s="173">
        <f>IF(ISNUMBER(VLOOKUP(E293,InteresPres!$B$2:$W$14,Prestaciones!C293-1997+2,0)),VLOOKUP(E293,InteresPres!$B$2:$W$14,Prestaciones!C293-1997+2,0),"0")/100</f>
        <v>0</v>
      </c>
      <c r="S293" s="323">
        <f t="shared" si="71"/>
        <v>0</v>
      </c>
      <c r="T293" s="323">
        <f t="shared" si="72"/>
        <v>0</v>
      </c>
      <c r="U293" s="5"/>
    </row>
    <row r="294" spans="2:21" x14ac:dyDescent="0.25">
      <c r="B294" s="4"/>
      <c r="C294" s="108">
        <f t="shared" si="63"/>
        <v>2034</v>
      </c>
      <c r="D294" s="109">
        <f t="shared" si="73"/>
        <v>7</v>
      </c>
      <c r="E294" s="110" t="str">
        <f>VLOOKUP(D294,FECHAS!$A$3:$B$14,2,0)</f>
        <v>Julio</v>
      </c>
      <c r="F294" s="319"/>
      <c r="G294" s="108">
        <f t="shared" si="64"/>
        <v>23</v>
      </c>
      <c r="H294" s="108">
        <f t="shared" si="62"/>
        <v>4</v>
      </c>
      <c r="I294" s="111">
        <f t="shared" si="74"/>
        <v>0</v>
      </c>
      <c r="J294" s="111">
        <v>5</v>
      </c>
      <c r="K294" s="111">
        <f t="shared" si="65"/>
        <v>15</v>
      </c>
      <c r="L294" s="111">
        <f t="shared" si="66"/>
        <v>0</v>
      </c>
      <c r="M294" s="143" t="str">
        <f t="shared" si="67"/>
        <v>LOTTT</v>
      </c>
      <c r="N294" s="108">
        <f t="shared" si="68"/>
        <v>15</v>
      </c>
      <c r="O294" s="321">
        <f t="shared" si="69"/>
        <v>0</v>
      </c>
      <c r="P294" s="322"/>
      <c r="Q294" s="321">
        <f t="shared" si="70"/>
        <v>0</v>
      </c>
      <c r="R294" s="173">
        <f>IF(ISNUMBER(VLOOKUP(E294,InteresPres!$B$2:$W$14,Prestaciones!C294-1997+2,0)),VLOOKUP(E294,InteresPres!$B$2:$W$14,Prestaciones!C294-1997+2,0),"0")/100</f>
        <v>0</v>
      </c>
      <c r="S294" s="323">
        <f t="shared" si="71"/>
        <v>0</v>
      </c>
      <c r="T294" s="323">
        <f t="shared" si="72"/>
        <v>0</v>
      </c>
      <c r="U294" s="5"/>
    </row>
    <row r="295" spans="2:21" x14ac:dyDescent="0.25">
      <c r="B295" s="4"/>
      <c r="C295" s="108">
        <f t="shared" si="63"/>
        <v>2034</v>
      </c>
      <c r="D295" s="109">
        <f t="shared" si="73"/>
        <v>8</v>
      </c>
      <c r="E295" s="110" t="str">
        <f>VLOOKUP(D295,FECHAS!$A$3:$B$14,2,0)</f>
        <v>Agosto</v>
      </c>
      <c r="F295" s="319"/>
      <c r="G295" s="108">
        <f t="shared" si="64"/>
        <v>23</v>
      </c>
      <c r="H295" s="108">
        <f t="shared" si="62"/>
        <v>5</v>
      </c>
      <c r="I295" s="111">
        <f t="shared" si="74"/>
        <v>0</v>
      </c>
      <c r="J295" s="111">
        <v>5</v>
      </c>
      <c r="K295" s="111">
        <f t="shared" si="65"/>
        <v>0</v>
      </c>
      <c r="L295" s="111">
        <f t="shared" si="66"/>
        <v>0</v>
      </c>
      <c r="M295" s="143" t="str">
        <f t="shared" si="67"/>
        <v>LOTTT</v>
      </c>
      <c r="N295" s="108">
        <f t="shared" si="68"/>
        <v>0</v>
      </c>
      <c r="O295" s="321">
        <f t="shared" si="69"/>
        <v>0</v>
      </c>
      <c r="P295" s="322"/>
      <c r="Q295" s="321">
        <f t="shared" si="70"/>
        <v>0</v>
      </c>
      <c r="R295" s="173">
        <f>IF(ISNUMBER(VLOOKUP(E295,InteresPres!$B$2:$W$14,Prestaciones!C295-1997+2,0)),VLOOKUP(E295,InteresPres!$B$2:$W$14,Prestaciones!C295-1997+2,0),"0")/100</f>
        <v>0</v>
      </c>
      <c r="S295" s="323">
        <f t="shared" si="71"/>
        <v>0</v>
      </c>
      <c r="T295" s="323">
        <f t="shared" si="72"/>
        <v>0</v>
      </c>
      <c r="U295" s="5"/>
    </row>
    <row r="296" spans="2:21" x14ac:dyDescent="0.25">
      <c r="B296" s="4"/>
      <c r="C296" s="108">
        <f t="shared" si="63"/>
        <v>2034</v>
      </c>
      <c r="D296" s="109">
        <f t="shared" si="73"/>
        <v>9</v>
      </c>
      <c r="E296" s="110" t="str">
        <f>VLOOKUP(D296,FECHAS!$A$3:$B$14,2,0)</f>
        <v>Septiembre</v>
      </c>
      <c r="F296" s="319"/>
      <c r="G296" s="108">
        <f t="shared" si="64"/>
        <v>23</v>
      </c>
      <c r="H296" s="108">
        <f t="shared" si="62"/>
        <v>6</v>
      </c>
      <c r="I296" s="111">
        <f t="shared" si="74"/>
        <v>0</v>
      </c>
      <c r="J296" s="111">
        <v>5</v>
      </c>
      <c r="K296" s="111">
        <f t="shared" si="65"/>
        <v>0</v>
      </c>
      <c r="L296" s="111">
        <f t="shared" si="66"/>
        <v>0</v>
      </c>
      <c r="M296" s="143" t="str">
        <f t="shared" si="67"/>
        <v>LOTTT</v>
      </c>
      <c r="N296" s="108">
        <f t="shared" si="68"/>
        <v>0</v>
      </c>
      <c r="O296" s="321">
        <f t="shared" si="69"/>
        <v>0</v>
      </c>
      <c r="P296" s="322"/>
      <c r="Q296" s="321">
        <f t="shared" si="70"/>
        <v>0</v>
      </c>
      <c r="R296" s="173">
        <f>IF(ISNUMBER(VLOOKUP(E296,InteresPres!$B$2:$W$14,Prestaciones!C296-1997+2,0)),VLOOKUP(E296,InteresPres!$B$2:$W$14,Prestaciones!C296-1997+2,0),"0")/100</f>
        <v>0</v>
      </c>
      <c r="S296" s="323">
        <f t="shared" si="71"/>
        <v>0</v>
      </c>
      <c r="T296" s="323">
        <f t="shared" si="72"/>
        <v>0</v>
      </c>
      <c r="U296" s="5"/>
    </row>
    <row r="297" spans="2:21" x14ac:dyDescent="0.25">
      <c r="B297" s="4"/>
      <c r="C297" s="108">
        <f t="shared" si="63"/>
        <v>2034</v>
      </c>
      <c r="D297" s="109">
        <f t="shared" si="73"/>
        <v>10</v>
      </c>
      <c r="E297" s="110" t="str">
        <f>VLOOKUP(D297,FECHAS!$A$3:$B$14,2,0)</f>
        <v>Octubre</v>
      </c>
      <c r="F297" s="319"/>
      <c r="G297" s="108">
        <f t="shared" si="64"/>
        <v>23</v>
      </c>
      <c r="H297" s="108">
        <f t="shared" si="62"/>
        <v>7</v>
      </c>
      <c r="I297" s="111">
        <f t="shared" si="74"/>
        <v>0</v>
      </c>
      <c r="J297" s="111">
        <v>5</v>
      </c>
      <c r="K297" s="111">
        <f t="shared" si="65"/>
        <v>15</v>
      </c>
      <c r="L297" s="111">
        <f t="shared" si="66"/>
        <v>0</v>
      </c>
      <c r="M297" s="143" t="str">
        <f t="shared" si="67"/>
        <v>LOTTT</v>
      </c>
      <c r="N297" s="108">
        <f t="shared" si="68"/>
        <v>15</v>
      </c>
      <c r="O297" s="321">
        <f t="shared" si="69"/>
        <v>0</v>
      </c>
      <c r="P297" s="322"/>
      <c r="Q297" s="321">
        <f t="shared" si="70"/>
        <v>0</v>
      </c>
      <c r="R297" s="173">
        <f>IF(ISNUMBER(VLOOKUP(E297,InteresPres!$B$2:$W$14,Prestaciones!C297-1997+2,0)),VLOOKUP(E297,InteresPres!$B$2:$W$14,Prestaciones!C297-1997+2,0),"0")/100</f>
        <v>0</v>
      </c>
      <c r="S297" s="323">
        <f t="shared" si="71"/>
        <v>0</v>
      </c>
      <c r="T297" s="323">
        <f t="shared" si="72"/>
        <v>0</v>
      </c>
      <c r="U297" s="5"/>
    </row>
    <row r="298" spans="2:21" x14ac:dyDescent="0.25">
      <c r="B298" s="4"/>
      <c r="C298" s="108">
        <f t="shared" si="63"/>
        <v>2034</v>
      </c>
      <c r="D298" s="109">
        <f t="shared" si="73"/>
        <v>11</v>
      </c>
      <c r="E298" s="110" t="str">
        <f>VLOOKUP(D298,FECHAS!$A$3:$B$14,2,0)</f>
        <v>Noviembre</v>
      </c>
      <c r="F298" s="319"/>
      <c r="G298" s="108">
        <f t="shared" si="64"/>
        <v>23</v>
      </c>
      <c r="H298" s="108">
        <f t="shared" si="62"/>
        <v>8</v>
      </c>
      <c r="I298" s="111">
        <f t="shared" si="74"/>
        <v>0</v>
      </c>
      <c r="J298" s="111">
        <v>5</v>
      </c>
      <c r="K298" s="111">
        <f t="shared" si="65"/>
        <v>0</v>
      </c>
      <c r="L298" s="111">
        <f t="shared" si="66"/>
        <v>0</v>
      </c>
      <c r="M298" s="143" t="str">
        <f t="shared" si="67"/>
        <v>LOTTT</v>
      </c>
      <c r="N298" s="108">
        <f t="shared" si="68"/>
        <v>0</v>
      </c>
      <c r="O298" s="321">
        <f t="shared" si="69"/>
        <v>0</v>
      </c>
      <c r="P298" s="322"/>
      <c r="Q298" s="321">
        <f t="shared" si="70"/>
        <v>0</v>
      </c>
      <c r="R298" s="173">
        <f>IF(ISNUMBER(VLOOKUP(E298,InteresPres!$B$2:$W$14,Prestaciones!C298-1997+2,0)),VLOOKUP(E298,InteresPres!$B$2:$W$14,Prestaciones!C298-1997+2,0),"0")/100</f>
        <v>0</v>
      </c>
      <c r="S298" s="323">
        <f t="shared" si="71"/>
        <v>0</v>
      </c>
      <c r="T298" s="323">
        <f t="shared" si="72"/>
        <v>0</v>
      </c>
      <c r="U298" s="5"/>
    </row>
    <row r="299" spans="2:21" x14ac:dyDescent="0.25">
      <c r="B299" s="4"/>
      <c r="C299" s="108">
        <f t="shared" si="63"/>
        <v>2034</v>
      </c>
      <c r="D299" s="109">
        <f t="shared" si="73"/>
        <v>12</v>
      </c>
      <c r="E299" s="110" t="str">
        <f>VLOOKUP(D299,FECHAS!$A$3:$B$14,2,0)</f>
        <v>Diciembre</v>
      </c>
      <c r="F299" s="319"/>
      <c r="G299" s="108">
        <f t="shared" si="64"/>
        <v>23</v>
      </c>
      <c r="H299" s="108">
        <f t="shared" si="62"/>
        <v>9</v>
      </c>
      <c r="I299" s="111">
        <f t="shared" si="74"/>
        <v>0</v>
      </c>
      <c r="J299" s="111">
        <v>5</v>
      </c>
      <c r="K299" s="111">
        <f t="shared" si="65"/>
        <v>0</v>
      </c>
      <c r="L299" s="111">
        <f t="shared" si="66"/>
        <v>0</v>
      </c>
      <c r="M299" s="143" t="str">
        <f t="shared" si="67"/>
        <v>LOTTT</v>
      </c>
      <c r="N299" s="108">
        <f t="shared" si="68"/>
        <v>0</v>
      </c>
      <c r="O299" s="321">
        <f t="shared" si="69"/>
        <v>0</v>
      </c>
      <c r="P299" s="322"/>
      <c r="Q299" s="321">
        <f t="shared" si="70"/>
        <v>0</v>
      </c>
      <c r="R299" s="173">
        <f>IF(ISNUMBER(VLOOKUP(E299,InteresPres!$B$2:$W$14,Prestaciones!C299-1997+2,0)),VLOOKUP(E299,InteresPres!$B$2:$W$14,Prestaciones!C299-1997+2,0),"0")/100</f>
        <v>0</v>
      </c>
      <c r="S299" s="323">
        <f t="shared" si="71"/>
        <v>0</v>
      </c>
      <c r="T299" s="323">
        <f t="shared" si="72"/>
        <v>0</v>
      </c>
      <c r="U299" s="5"/>
    </row>
    <row r="300" spans="2:21" x14ac:dyDescent="0.25">
      <c r="B300" s="4"/>
      <c r="C300" s="108">
        <f t="shared" si="63"/>
        <v>2035</v>
      </c>
      <c r="D300" s="109">
        <f t="shared" si="73"/>
        <v>1</v>
      </c>
      <c r="E300" s="110" t="str">
        <f>VLOOKUP(D300,FECHAS!$A$3:$B$14,2,0)</f>
        <v>Enero</v>
      </c>
      <c r="F300" s="319"/>
      <c r="G300" s="108">
        <f t="shared" si="64"/>
        <v>23</v>
      </c>
      <c r="H300" s="108">
        <f t="shared" si="62"/>
        <v>10</v>
      </c>
      <c r="I300" s="111">
        <f t="shared" si="74"/>
        <v>0</v>
      </c>
      <c r="J300" s="111">
        <v>5</v>
      </c>
      <c r="K300" s="111">
        <f t="shared" si="65"/>
        <v>15</v>
      </c>
      <c r="L300" s="111">
        <f t="shared" si="66"/>
        <v>0</v>
      </c>
      <c r="M300" s="143" t="str">
        <f t="shared" si="67"/>
        <v>LOTTT</v>
      </c>
      <c r="N300" s="108">
        <f t="shared" si="68"/>
        <v>15</v>
      </c>
      <c r="O300" s="321">
        <f t="shared" si="69"/>
        <v>0</v>
      </c>
      <c r="P300" s="322"/>
      <c r="Q300" s="321">
        <f t="shared" si="70"/>
        <v>0</v>
      </c>
      <c r="R300" s="173">
        <f>IF(ISNUMBER(VLOOKUP(E300,InteresPres!$B$2:$W$14,Prestaciones!C300-1997+2,0)),VLOOKUP(E300,InteresPres!$B$2:$W$14,Prestaciones!C300-1997+2,0),"0")/100</f>
        <v>0</v>
      </c>
      <c r="S300" s="323">
        <f t="shared" si="71"/>
        <v>0</v>
      </c>
      <c r="T300" s="323">
        <f t="shared" si="72"/>
        <v>0</v>
      </c>
      <c r="U300" s="5"/>
    </row>
    <row r="301" spans="2:21" x14ac:dyDescent="0.25">
      <c r="B301" s="4"/>
      <c r="C301" s="108">
        <f t="shared" si="63"/>
        <v>2035</v>
      </c>
      <c r="D301" s="109">
        <f t="shared" si="73"/>
        <v>2</v>
      </c>
      <c r="E301" s="110" t="str">
        <f>VLOOKUP(D301,FECHAS!$A$3:$B$14,2,0)</f>
        <v>Febrero</v>
      </c>
      <c r="F301" s="319"/>
      <c r="G301" s="108">
        <f t="shared" si="64"/>
        <v>23</v>
      </c>
      <c r="H301" s="108">
        <f t="shared" si="62"/>
        <v>11</v>
      </c>
      <c r="I301" s="111">
        <f t="shared" si="74"/>
        <v>0</v>
      </c>
      <c r="J301" s="111">
        <v>5</v>
      </c>
      <c r="K301" s="111">
        <f t="shared" si="65"/>
        <v>0</v>
      </c>
      <c r="L301" s="111">
        <f t="shared" si="66"/>
        <v>0</v>
      </c>
      <c r="M301" s="143" t="str">
        <f t="shared" si="67"/>
        <v>LOTTT</v>
      </c>
      <c r="N301" s="108">
        <f t="shared" si="68"/>
        <v>0</v>
      </c>
      <c r="O301" s="321">
        <f t="shared" si="69"/>
        <v>0</v>
      </c>
      <c r="P301" s="322"/>
      <c r="Q301" s="321">
        <f t="shared" si="70"/>
        <v>0</v>
      </c>
      <c r="R301" s="173">
        <f>IF(ISNUMBER(VLOOKUP(E301,InteresPres!$B$2:$W$14,Prestaciones!C301-1997+2,0)),VLOOKUP(E301,InteresPres!$B$2:$W$14,Prestaciones!C301-1997+2,0),"0")/100</f>
        <v>0</v>
      </c>
      <c r="S301" s="323">
        <f t="shared" si="71"/>
        <v>0</v>
      </c>
      <c r="T301" s="323">
        <f t="shared" si="72"/>
        <v>0</v>
      </c>
      <c r="U301" s="5"/>
    </row>
    <row r="302" spans="2:21" x14ac:dyDescent="0.25">
      <c r="B302" s="4"/>
      <c r="C302" s="108">
        <f t="shared" si="63"/>
        <v>2035</v>
      </c>
      <c r="D302" s="109">
        <f t="shared" si="73"/>
        <v>3</v>
      </c>
      <c r="E302" s="110" t="str">
        <f>VLOOKUP(D302,FECHAS!$A$3:$B$14,2,0)</f>
        <v>Marzo</v>
      </c>
      <c r="F302" s="319"/>
      <c r="G302" s="108">
        <f t="shared" si="64"/>
        <v>24</v>
      </c>
      <c r="H302" s="108">
        <f t="shared" si="62"/>
        <v>0</v>
      </c>
      <c r="I302" s="111">
        <f t="shared" si="74"/>
        <v>30</v>
      </c>
      <c r="J302" s="111">
        <v>5</v>
      </c>
      <c r="K302" s="111">
        <f t="shared" si="65"/>
        <v>0</v>
      </c>
      <c r="L302" s="111">
        <f t="shared" si="66"/>
        <v>0</v>
      </c>
      <c r="M302" s="143" t="str">
        <f t="shared" si="67"/>
        <v>LOTTT</v>
      </c>
      <c r="N302" s="108">
        <f t="shared" si="68"/>
        <v>30</v>
      </c>
      <c r="O302" s="321">
        <f t="shared" si="69"/>
        <v>0</v>
      </c>
      <c r="P302" s="322"/>
      <c r="Q302" s="321">
        <f t="shared" si="70"/>
        <v>0</v>
      </c>
      <c r="R302" s="173">
        <f>IF(ISNUMBER(VLOOKUP(E302,InteresPres!$B$2:$W$14,Prestaciones!C302-1997+2,0)),VLOOKUP(E302,InteresPres!$B$2:$W$14,Prestaciones!C302-1997+2,0),"0")/100</f>
        <v>0</v>
      </c>
      <c r="S302" s="323">
        <f t="shared" si="71"/>
        <v>0</v>
      </c>
      <c r="T302" s="323">
        <f t="shared" si="72"/>
        <v>0</v>
      </c>
      <c r="U302" s="5"/>
    </row>
    <row r="303" spans="2:21" x14ac:dyDescent="0.25">
      <c r="B303" s="4"/>
      <c r="C303" s="108">
        <f t="shared" si="63"/>
        <v>2035</v>
      </c>
      <c r="D303" s="109">
        <f t="shared" si="73"/>
        <v>4</v>
      </c>
      <c r="E303" s="110" t="str">
        <f>VLOOKUP(D303,FECHAS!$A$3:$B$14,2,0)</f>
        <v>Abril</v>
      </c>
      <c r="F303" s="319"/>
      <c r="G303" s="108">
        <f t="shared" si="64"/>
        <v>24</v>
      </c>
      <c r="H303" s="108">
        <f t="shared" si="62"/>
        <v>1</v>
      </c>
      <c r="I303" s="111">
        <f t="shared" si="74"/>
        <v>0</v>
      </c>
      <c r="J303" s="111">
        <v>5</v>
      </c>
      <c r="K303" s="111">
        <f t="shared" si="65"/>
        <v>15</v>
      </c>
      <c r="L303" s="111">
        <f t="shared" si="66"/>
        <v>0</v>
      </c>
      <c r="M303" s="143" t="str">
        <f t="shared" si="67"/>
        <v>LOTTT</v>
      </c>
      <c r="N303" s="108">
        <f t="shared" si="68"/>
        <v>15</v>
      </c>
      <c r="O303" s="321">
        <f t="shared" si="69"/>
        <v>0</v>
      </c>
      <c r="P303" s="322"/>
      <c r="Q303" s="321">
        <f t="shared" si="70"/>
        <v>0</v>
      </c>
      <c r="R303" s="173">
        <f>IF(ISNUMBER(VLOOKUP(E303,InteresPres!$B$2:$W$14,Prestaciones!C303-1997+2,0)),VLOOKUP(E303,InteresPres!$B$2:$W$14,Prestaciones!C303-1997+2,0),"0")/100</f>
        <v>0</v>
      </c>
      <c r="S303" s="323">
        <f t="shared" si="71"/>
        <v>0</v>
      </c>
      <c r="T303" s="323">
        <f t="shared" si="72"/>
        <v>0</v>
      </c>
      <c r="U303" s="5"/>
    </row>
    <row r="304" spans="2:21" x14ac:dyDescent="0.25">
      <c r="B304" s="4"/>
      <c r="C304" s="108">
        <f t="shared" si="63"/>
        <v>2035</v>
      </c>
      <c r="D304" s="109">
        <f t="shared" si="73"/>
        <v>5</v>
      </c>
      <c r="E304" s="110" t="str">
        <f>VLOOKUP(D304,FECHAS!$A$3:$B$14,2,0)</f>
        <v>Mayo</v>
      </c>
      <c r="F304" s="319"/>
      <c r="G304" s="108">
        <f t="shared" si="64"/>
        <v>24</v>
      </c>
      <c r="H304" s="108">
        <f t="shared" si="62"/>
        <v>2</v>
      </c>
      <c r="I304" s="111">
        <f t="shared" si="74"/>
        <v>0</v>
      </c>
      <c r="J304" s="111">
        <v>5</v>
      </c>
      <c r="K304" s="111">
        <f t="shared" si="65"/>
        <v>0</v>
      </c>
      <c r="L304" s="111">
        <f t="shared" si="66"/>
        <v>0</v>
      </c>
      <c r="M304" s="143" t="str">
        <f t="shared" si="67"/>
        <v>LOTTT</v>
      </c>
      <c r="N304" s="108">
        <f t="shared" si="68"/>
        <v>0</v>
      </c>
      <c r="O304" s="321">
        <f t="shared" si="69"/>
        <v>0</v>
      </c>
      <c r="P304" s="322"/>
      <c r="Q304" s="321">
        <f t="shared" si="70"/>
        <v>0</v>
      </c>
      <c r="R304" s="173">
        <f>IF(ISNUMBER(VLOOKUP(E304,InteresPres!$B$2:$W$14,Prestaciones!C304-1997+2,0)),VLOOKUP(E304,InteresPres!$B$2:$W$14,Prestaciones!C304-1997+2,0),"0")/100</f>
        <v>0</v>
      </c>
      <c r="S304" s="323">
        <f t="shared" si="71"/>
        <v>0</v>
      </c>
      <c r="T304" s="323">
        <f t="shared" si="72"/>
        <v>0</v>
      </c>
      <c r="U304" s="5"/>
    </row>
    <row r="305" spans="2:21" x14ac:dyDescent="0.25">
      <c r="B305" s="4"/>
      <c r="C305" s="108">
        <f t="shared" si="63"/>
        <v>2035</v>
      </c>
      <c r="D305" s="109">
        <f t="shared" si="73"/>
        <v>6</v>
      </c>
      <c r="E305" s="110" t="str">
        <f>VLOOKUP(D305,FECHAS!$A$3:$B$14,2,0)</f>
        <v>Junio</v>
      </c>
      <c r="F305" s="319"/>
      <c r="G305" s="108">
        <f t="shared" si="64"/>
        <v>24</v>
      </c>
      <c r="H305" s="108">
        <f t="shared" si="62"/>
        <v>3</v>
      </c>
      <c r="I305" s="111">
        <f t="shared" si="74"/>
        <v>0</v>
      </c>
      <c r="J305" s="111">
        <v>5</v>
      </c>
      <c r="K305" s="111">
        <f t="shared" si="65"/>
        <v>0</v>
      </c>
      <c r="L305" s="111">
        <f t="shared" si="66"/>
        <v>0</v>
      </c>
      <c r="M305" s="143" t="str">
        <f t="shared" si="67"/>
        <v>LOTTT</v>
      </c>
      <c r="N305" s="108">
        <f t="shared" si="68"/>
        <v>0</v>
      </c>
      <c r="O305" s="321">
        <f t="shared" si="69"/>
        <v>0</v>
      </c>
      <c r="P305" s="322"/>
      <c r="Q305" s="321">
        <f t="shared" si="70"/>
        <v>0</v>
      </c>
      <c r="R305" s="173">
        <f>IF(ISNUMBER(VLOOKUP(E305,InteresPres!$B$2:$W$14,Prestaciones!C305-1997+2,0)),VLOOKUP(E305,InteresPres!$B$2:$W$14,Prestaciones!C305-1997+2,0),"0")/100</f>
        <v>0</v>
      </c>
      <c r="S305" s="323">
        <f t="shared" si="71"/>
        <v>0</v>
      </c>
      <c r="T305" s="323">
        <f t="shared" si="72"/>
        <v>0</v>
      </c>
      <c r="U305" s="5"/>
    </row>
    <row r="306" spans="2:21" x14ac:dyDescent="0.25">
      <c r="B306" s="4"/>
      <c r="C306" s="108">
        <f t="shared" si="63"/>
        <v>2035</v>
      </c>
      <c r="D306" s="109">
        <f t="shared" si="73"/>
        <v>7</v>
      </c>
      <c r="E306" s="110" t="str">
        <f>VLOOKUP(D306,FECHAS!$A$3:$B$14,2,0)</f>
        <v>Julio</v>
      </c>
      <c r="F306" s="319"/>
      <c r="G306" s="108">
        <f t="shared" si="64"/>
        <v>24</v>
      </c>
      <c r="H306" s="108">
        <f t="shared" si="62"/>
        <v>4</v>
      </c>
      <c r="I306" s="111">
        <f t="shared" si="74"/>
        <v>0</v>
      </c>
      <c r="J306" s="111">
        <v>5</v>
      </c>
      <c r="K306" s="111">
        <f t="shared" si="65"/>
        <v>15</v>
      </c>
      <c r="L306" s="111">
        <f t="shared" si="66"/>
        <v>0</v>
      </c>
      <c r="M306" s="143" t="str">
        <f t="shared" si="67"/>
        <v>LOTTT</v>
      </c>
      <c r="N306" s="108">
        <f t="shared" si="68"/>
        <v>15</v>
      </c>
      <c r="O306" s="321">
        <f t="shared" si="69"/>
        <v>0</v>
      </c>
      <c r="P306" s="322"/>
      <c r="Q306" s="321">
        <f t="shared" si="70"/>
        <v>0</v>
      </c>
      <c r="R306" s="173">
        <f>IF(ISNUMBER(VLOOKUP(E306,InteresPres!$B$2:$W$14,Prestaciones!C306-1997+2,0)),VLOOKUP(E306,InteresPres!$B$2:$W$14,Prestaciones!C306-1997+2,0),"0")/100</f>
        <v>0</v>
      </c>
      <c r="S306" s="323">
        <f t="shared" si="71"/>
        <v>0</v>
      </c>
      <c r="T306" s="323">
        <f t="shared" si="72"/>
        <v>0</v>
      </c>
      <c r="U306" s="5"/>
    </row>
    <row r="307" spans="2:21" x14ac:dyDescent="0.25">
      <c r="B307" s="4"/>
      <c r="C307" s="108">
        <f t="shared" si="63"/>
        <v>2035</v>
      </c>
      <c r="D307" s="109">
        <f t="shared" si="73"/>
        <v>8</v>
      </c>
      <c r="E307" s="110" t="str">
        <f>VLOOKUP(D307,FECHAS!$A$3:$B$14,2,0)</f>
        <v>Agosto</v>
      </c>
      <c r="F307" s="319"/>
      <c r="G307" s="108">
        <f t="shared" si="64"/>
        <v>24</v>
      </c>
      <c r="H307" s="108">
        <f t="shared" si="62"/>
        <v>5</v>
      </c>
      <c r="I307" s="111">
        <f t="shared" si="74"/>
        <v>0</v>
      </c>
      <c r="J307" s="111">
        <v>5</v>
      </c>
      <c r="K307" s="111">
        <f t="shared" si="65"/>
        <v>0</v>
      </c>
      <c r="L307" s="111">
        <f t="shared" si="66"/>
        <v>0</v>
      </c>
      <c r="M307" s="143" t="str">
        <f t="shared" si="67"/>
        <v>LOTTT</v>
      </c>
      <c r="N307" s="108">
        <f t="shared" si="68"/>
        <v>0</v>
      </c>
      <c r="O307" s="321">
        <f t="shared" si="69"/>
        <v>0</v>
      </c>
      <c r="P307" s="322"/>
      <c r="Q307" s="321">
        <f t="shared" si="70"/>
        <v>0</v>
      </c>
      <c r="R307" s="173">
        <f>IF(ISNUMBER(VLOOKUP(E307,InteresPres!$B$2:$W$14,Prestaciones!C307-1997+2,0)),VLOOKUP(E307,InteresPres!$B$2:$W$14,Prestaciones!C307-1997+2,0),"0")/100</f>
        <v>0</v>
      </c>
      <c r="S307" s="323">
        <f t="shared" si="71"/>
        <v>0</v>
      </c>
      <c r="T307" s="323">
        <f t="shared" si="72"/>
        <v>0</v>
      </c>
      <c r="U307" s="5"/>
    </row>
    <row r="308" spans="2:21" x14ac:dyDescent="0.25">
      <c r="B308" s="4"/>
      <c r="C308" s="108">
        <f t="shared" si="63"/>
        <v>2035</v>
      </c>
      <c r="D308" s="109">
        <f t="shared" si="73"/>
        <v>9</v>
      </c>
      <c r="E308" s="110" t="str">
        <f>VLOOKUP(D308,FECHAS!$A$3:$B$14,2,0)</f>
        <v>Septiembre</v>
      </c>
      <c r="F308" s="319"/>
      <c r="G308" s="108">
        <f t="shared" si="64"/>
        <v>24</v>
      </c>
      <c r="H308" s="108">
        <f t="shared" si="62"/>
        <v>6</v>
      </c>
      <c r="I308" s="111">
        <f t="shared" si="74"/>
        <v>0</v>
      </c>
      <c r="J308" s="111">
        <v>5</v>
      </c>
      <c r="K308" s="111">
        <f t="shared" si="65"/>
        <v>0</v>
      </c>
      <c r="L308" s="111">
        <f t="shared" si="66"/>
        <v>0</v>
      </c>
      <c r="M308" s="143" t="str">
        <f t="shared" si="67"/>
        <v>LOTTT</v>
      </c>
      <c r="N308" s="108">
        <f t="shared" si="68"/>
        <v>0</v>
      </c>
      <c r="O308" s="321">
        <f t="shared" si="69"/>
        <v>0</v>
      </c>
      <c r="P308" s="322"/>
      <c r="Q308" s="321">
        <f t="shared" si="70"/>
        <v>0</v>
      </c>
      <c r="R308" s="173">
        <f>IF(ISNUMBER(VLOOKUP(E308,InteresPres!$B$2:$W$14,Prestaciones!C308-1997+2,0)),VLOOKUP(E308,InteresPres!$B$2:$W$14,Prestaciones!C308-1997+2,0),"0")/100</f>
        <v>0</v>
      </c>
      <c r="S308" s="323">
        <f t="shared" si="71"/>
        <v>0</v>
      </c>
      <c r="T308" s="323">
        <f t="shared" si="72"/>
        <v>0</v>
      </c>
      <c r="U308" s="5"/>
    </row>
    <row r="309" spans="2:21" x14ac:dyDescent="0.25">
      <c r="B309" s="4"/>
      <c r="C309" s="108">
        <f t="shared" si="63"/>
        <v>2035</v>
      </c>
      <c r="D309" s="109">
        <f t="shared" si="73"/>
        <v>10</v>
      </c>
      <c r="E309" s="110" t="str">
        <f>VLOOKUP(D309,FECHAS!$A$3:$B$14,2,0)</f>
        <v>Octubre</v>
      </c>
      <c r="F309" s="319"/>
      <c r="G309" s="108">
        <f t="shared" si="64"/>
        <v>24</v>
      </c>
      <c r="H309" s="108">
        <f t="shared" si="62"/>
        <v>7</v>
      </c>
      <c r="I309" s="111">
        <f t="shared" si="74"/>
        <v>0</v>
      </c>
      <c r="J309" s="111">
        <v>5</v>
      </c>
      <c r="K309" s="111">
        <f t="shared" si="65"/>
        <v>15</v>
      </c>
      <c r="L309" s="111">
        <f t="shared" si="66"/>
        <v>0</v>
      </c>
      <c r="M309" s="143" t="str">
        <f t="shared" si="67"/>
        <v>LOTTT</v>
      </c>
      <c r="N309" s="108">
        <f t="shared" si="68"/>
        <v>15</v>
      </c>
      <c r="O309" s="321">
        <f t="shared" si="69"/>
        <v>0</v>
      </c>
      <c r="P309" s="322"/>
      <c r="Q309" s="321">
        <f t="shared" si="70"/>
        <v>0</v>
      </c>
      <c r="R309" s="173">
        <f>IF(ISNUMBER(VLOOKUP(E309,InteresPres!$B$2:$W$14,Prestaciones!C309-1997+2,0)),VLOOKUP(E309,InteresPres!$B$2:$W$14,Prestaciones!C309-1997+2,0),"0")/100</f>
        <v>0</v>
      </c>
      <c r="S309" s="323">
        <f t="shared" si="71"/>
        <v>0</v>
      </c>
      <c r="T309" s="323">
        <f t="shared" si="72"/>
        <v>0</v>
      </c>
      <c r="U309" s="5"/>
    </row>
    <row r="310" spans="2:21" x14ac:dyDescent="0.25">
      <c r="B310" s="4"/>
      <c r="C310" s="108">
        <f t="shared" si="63"/>
        <v>2035</v>
      </c>
      <c r="D310" s="109">
        <f t="shared" si="73"/>
        <v>11</v>
      </c>
      <c r="E310" s="110" t="str">
        <f>VLOOKUP(D310,FECHAS!$A$3:$B$14,2,0)</f>
        <v>Noviembre</v>
      </c>
      <c r="F310" s="319"/>
      <c r="G310" s="108">
        <f t="shared" si="64"/>
        <v>24</v>
      </c>
      <c r="H310" s="108">
        <f t="shared" si="62"/>
        <v>8</v>
      </c>
      <c r="I310" s="111">
        <f t="shared" si="74"/>
        <v>0</v>
      </c>
      <c r="J310" s="111">
        <v>5</v>
      </c>
      <c r="K310" s="111">
        <f t="shared" si="65"/>
        <v>0</v>
      </c>
      <c r="L310" s="111">
        <f t="shared" si="66"/>
        <v>0</v>
      </c>
      <c r="M310" s="143" t="str">
        <f t="shared" si="67"/>
        <v>LOTTT</v>
      </c>
      <c r="N310" s="108">
        <f t="shared" si="68"/>
        <v>0</v>
      </c>
      <c r="O310" s="321">
        <f t="shared" si="69"/>
        <v>0</v>
      </c>
      <c r="P310" s="322"/>
      <c r="Q310" s="321">
        <f t="shared" si="70"/>
        <v>0</v>
      </c>
      <c r="R310" s="173">
        <f>IF(ISNUMBER(VLOOKUP(E310,InteresPres!$B$2:$W$14,Prestaciones!C310-1997+2,0)),VLOOKUP(E310,InteresPres!$B$2:$W$14,Prestaciones!C310-1997+2,0),"0")/100</f>
        <v>0</v>
      </c>
      <c r="S310" s="323">
        <f t="shared" si="71"/>
        <v>0</v>
      </c>
      <c r="T310" s="323">
        <f t="shared" si="72"/>
        <v>0</v>
      </c>
      <c r="U310" s="5"/>
    </row>
    <row r="311" spans="2:21" x14ac:dyDescent="0.25">
      <c r="B311" s="4"/>
      <c r="C311" s="108">
        <f t="shared" si="63"/>
        <v>2035</v>
      </c>
      <c r="D311" s="109">
        <f t="shared" si="73"/>
        <v>12</v>
      </c>
      <c r="E311" s="110" t="str">
        <f>VLOOKUP(D311,FECHAS!$A$3:$B$14,2,0)</f>
        <v>Diciembre</v>
      </c>
      <c r="F311" s="319"/>
      <c r="G311" s="108">
        <f t="shared" si="64"/>
        <v>24</v>
      </c>
      <c r="H311" s="108">
        <f t="shared" si="62"/>
        <v>9</v>
      </c>
      <c r="I311" s="111">
        <f t="shared" si="74"/>
        <v>0</v>
      </c>
      <c r="J311" s="111">
        <v>5</v>
      </c>
      <c r="K311" s="111">
        <f t="shared" si="65"/>
        <v>0</v>
      </c>
      <c r="L311" s="111">
        <f t="shared" si="66"/>
        <v>0</v>
      </c>
      <c r="M311" s="143" t="str">
        <f t="shared" si="67"/>
        <v>LOTTT</v>
      </c>
      <c r="N311" s="108">
        <f t="shared" si="68"/>
        <v>0</v>
      </c>
      <c r="O311" s="321">
        <f t="shared" si="69"/>
        <v>0</v>
      </c>
      <c r="P311" s="322"/>
      <c r="Q311" s="321">
        <f t="shared" si="70"/>
        <v>0</v>
      </c>
      <c r="R311" s="173">
        <f>IF(ISNUMBER(VLOOKUP(E311,InteresPres!$B$2:$W$14,Prestaciones!C311-1997+2,0)),VLOOKUP(E311,InteresPres!$B$2:$W$14,Prestaciones!C311-1997+2,0),"0")/100</f>
        <v>0</v>
      </c>
      <c r="S311" s="323">
        <f t="shared" si="71"/>
        <v>0</v>
      </c>
      <c r="T311" s="323">
        <f t="shared" si="72"/>
        <v>0</v>
      </c>
      <c r="U311" s="5"/>
    </row>
    <row r="312" spans="2:21" x14ac:dyDescent="0.25">
      <c r="B312" s="4"/>
      <c r="C312" s="108">
        <f t="shared" si="63"/>
        <v>2036</v>
      </c>
      <c r="D312" s="109">
        <f t="shared" si="73"/>
        <v>1</v>
      </c>
      <c r="E312" s="110" t="str">
        <f>VLOOKUP(D312,FECHAS!$A$3:$B$14,2,0)</f>
        <v>Enero</v>
      </c>
      <c r="F312" s="319"/>
      <c r="G312" s="108">
        <f t="shared" si="64"/>
        <v>24</v>
      </c>
      <c r="H312" s="108">
        <f t="shared" si="62"/>
        <v>10</v>
      </c>
      <c r="I312" s="111">
        <f t="shared" si="74"/>
        <v>0</v>
      </c>
      <c r="J312" s="111">
        <v>5</v>
      </c>
      <c r="K312" s="111">
        <f t="shared" si="65"/>
        <v>15</v>
      </c>
      <c r="L312" s="111">
        <f t="shared" si="66"/>
        <v>0</v>
      </c>
      <c r="M312" s="143" t="str">
        <f t="shared" si="67"/>
        <v>LOTTT</v>
      </c>
      <c r="N312" s="108">
        <f t="shared" si="68"/>
        <v>15</v>
      </c>
      <c r="O312" s="321">
        <f t="shared" si="69"/>
        <v>0</v>
      </c>
      <c r="P312" s="322"/>
      <c r="Q312" s="321">
        <f t="shared" si="70"/>
        <v>0</v>
      </c>
      <c r="R312" s="173">
        <f>IF(ISNUMBER(VLOOKUP(E312,InteresPres!$B$2:$W$14,Prestaciones!C312-1997+2,0)),VLOOKUP(E312,InteresPres!$B$2:$W$14,Prestaciones!C312-1997+2,0),"0")/100</f>
        <v>0</v>
      </c>
      <c r="S312" s="323">
        <f t="shared" si="71"/>
        <v>0</v>
      </c>
      <c r="T312" s="323">
        <f t="shared" si="72"/>
        <v>0</v>
      </c>
      <c r="U312" s="5"/>
    </row>
    <row r="313" spans="2:21" x14ac:dyDescent="0.25">
      <c r="B313" s="4"/>
      <c r="C313" s="108">
        <f t="shared" si="63"/>
        <v>2036</v>
      </c>
      <c r="D313" s="109">
        <f t="shared" si="73"/>
        <v>2</v>
      </c>
      <c r="E313" s="110" t="str">
        <f>VLOOKUP(D313,FECHAS!$A$3:$B$14,2,0)</f>
        <v>Febrero</v>
      </c>
      <c r="F313" s="319"/>
      <c r="G313" s="108">
        <f t="shared" si="64"/>
        <v>24</v>
      </c>
      <c r="H313" s="108">
        <f t="shared" si="62"/>
        <v>11</v>
      </c>
      <c r="I313" s="111">
        <f t="shared" si="74"/>
        <v>0</v>
      </c>
      <c r="J313" s="111">
        <v>5</v>
      </c>
      <c r="K313" s="111">
        <f t="shared" si="65"/>
        <v>0</v>
      </c>
      <c r="L313" s="111">
        <f t="shared" si="66"/>
        <v>0</v>
      </c>
      <c r="M313" s="143" t="str">
        <f t="shared" si="67"/>
        <v>LOTTT</v>
      </c>
      <c r="N313" s="108">
        <f t="shared" si="68"/>
        <v>0</v>
      </c>
      <c r="O313" s="321">
        <f t="shared" si="69"/>
        <v>0</v>
      </c>
      <c r="P313" s="322"/>
      <c r="Q313" s="321">
        <f t="shared" si="70"/>
        <v>0</v>
      </c>
      <c r="R313" s="173">
        <f>IF(ISNUMBER(VLOOKUP(E313,InteresPres!$B$2:$W$14,Prestaciones!C313-1997+2,0)),VLOOKUP(E313,InteresPres!$B$2:$W$14,Prestaciones!C313-1997+2,0),"0")/100</f>
        <v>0</v>
      </c>
      <c r="S313" s="323">
        <f t="shared" si="71"/>
        <v>0</v>
      </c>
      <c r="T313" s="323">
        <f t="shared" si="72"/>
        <v>0</v>
      </c>
      <c r="U313" s="5"/>
    </row>
    <row r="314" spans="2:21" x14ac:dyDescent="0.25">
      <c r="B314" s="4"/>
      <c r="C314" s="108">
        <f t="shared" si="63"/>
        <v>2036</v>
      </c>
      <c r="D314" s="109">
        <f t="shared" si="73"/>
        <v>3</v>
      </c>
      <c r="E314" s="110" t="str">
        <f>VLOOKUP(D314,FECHAS!$A$3:$B$14,2,0)</f>
        <v>Marzo</v>
      </c>
      <c r="F314" s="319"/>
      <c r="G314" s="108">
        <f t="shared" si="64"/>
        <v>25</v>
      </c>
      <c r="H314" s="108">
        <f t="shared" si="62"/>
        <v>0</v>
      </c>
      <c r="I314" s="111">
        <f t="shared" si="74"/>
        <v>30</v>
      </c>
      <c r="J314" s="111">
        <v>5</v>
      </c>
      <c r="K314" s="111">
        <f t="shared" si="65"/>
        <v>0</v>
      </c>
      <c r="L314" s="111">
        <f t="shared" si="66"/>
        <v>0</v>
      </c>
      <c r="M314" s="143" t="str">
        <f t="shared" si="67"/>
        <v>LOTTT</v>
      </c>
      <c r="N314" s="108">
        <f t="shared" si="68"/>
        <v>30</v>
      </c>
      <c r="O314" s="321">
        <f t="shared" si="69"/>
        <v>0</v>
      </c>
      <c r="P314" s="322"/>
      <c r="Q314" s="321">
        <f t="shared" si="70"/>
        <v>0</v>
      </c>
      <c r="R314" s="173">
        <f>IF(ISNUMBER(VLOOKUP(E314,InteresPres!$B$2:$W$14,Prestaciones!C314-1997+2,0)),VLOOKUP(E314,InteresPres!$B$2:$W$14,Prestaciones!C314-1997+2,0),"0")/100</f>
        <v>0</v>
      </c>
      <c r="S314" s="323">
        <f t="shared" si="71"/>
        <v>0</v>
      </c>
      <c r="T314" s="323">
        <f t="shared" si="72"/>
        <v>0</v>
      </c>
      <c r="U314" s="5"/>
    </row>
    <row r="315" spans="2:21" x14ac:dyDescent="0.25">
      <c r="B315" s="4"/>
      <c r="C315" s="108">
        <f t="shared" si="63"/>
        <v>2036</v>
      </c>
      <c r="D315" s="109">
        <f t="shared" si="73"/>
        <v>4</v>
      </c>
      <c r="E315" s="110" t="str">
        <f>VLOOKUP(D315,FECHAS!$A$3:$B$14,2,0)</f>
        <v>Abril</v>
      </c>
      <c r="F315" s="319"/>
      <c r="G315" s="108">
        <f t="shared" si="64"/>
        <v>25</v>
      </c>
      <c r="H315" s="108">
        <f t="shared" si="62"/>
        <v>1</v>
      </c>
      <c r="I315" s="111">
        <f t="shared" si="74"/>
        <v>0</v>
      </c>
      <c r="J315" s="111">
        <v>5</v>
      </c>
      <c r="K315" s="111">
        <f t="shared" si="65"/>
        <v>15</v>
      </c>
      <c r="L315" s="111">
        <f t="shared" si="66"/>
        <v>0</v>
      </c>
      <c r="M315" s="143" t="str">
        <f t="shared" si="67"/>
        <v>LOTTT</v>
      </c>
      <c r="N315" s="108">
        <f t="shared" si="68"/>
        <v>15</v>
      </c>
      <c r="O315" s="321">
        <f t="shared" si="69"/>
        <v>0</v>
      </c>
      <c r="P315" s="322"/>
      <c r="Q315" s="321">
        <f t="shared" si="70"/>
        <v>0</v>
      </c>
      <c r="R315" s="173">
        <f>IF(ISNUMBER(VLOOKUP(E315,InteresPres!$B$2:$W$14,Prestaciones!C315-1997+2,0)),VLOOKUP(E315,InteresPres!$B$2:$W$14,Prestaciones!C315-1997+2,0),"0")/100</f>
        <v>0</v>
      </c>
      <c r="S315" s="323">
        <f t="shared" si="71"/>
        <v>0</v>
      </c>
      <c r="T315" s="323">
        <f t="shared" si="72"/>
        <v>0</v>
      </c>
      <c r="U315" s="5"/>
    </row>
    <row r="316" spans="2:21" x14ac:dyDescent="0.25">
      <c r="B316" s="4"/>
      <c r="C316" s="108">
        <f t="shared" si="63"/>
        <v>2036</v>
      </c>
      <c r="D316" s="109">
        <f t="shared" si="73"/>
        <v>5</v>
      </c>
      <c r="E316" s="110" t="str">
        <f>VLOOKUP(D316,FECHAS!$A$3:$B$14,2,0)</f>
        <v>Mayo</v>
      </c>
      <c r="F316" s="319"/>
      <c r="G316" s="108">
        <f t="shared" si="64"/>
        <v>25</v>
      </c>
      <c r="H316" s="108">
        <f t="shared" si="62"/>
        <v>2</v>
      </c>
      <c r="I316" s="111">
        <f t="shared" si="74"/>
        <v>0</v>
      </c>
      <c r="J316" s="111">
        <v>5</v>
      </c>
      <c r="K316" s="111">
        <f t="shared" si="65"/>
        <v>0</v>
      </c>
      <c r="L316" s="111">
        <f t="shared" si="66"/>
        <v>0</v>
      </c>
      <c r="M316" s="143" t="str">
        <f t="shared" si="67"/>
        <v>LOTTT</v>
      </c>
      <c r="N316" s="108">
        <f t="shared" si="68"/>
        <v>0</v>
      </c>
      <c r="O316" s="321">
        <f t="shared" si="69"/>
        <v>0</v>
      </c>
      <c r="P316" s="322"/>
      <c r="Q316" s="321">
        <f t="shared" si="70"/>
        <v>0</v>
      </c>
      <c r="R316" s="173">
        <f>IF(ISNUMBER(VLOOKUP(E316,InteresPres!$B$2:$W$14,Prestaciones!C316-1997+2,0)),VLOOKUP(E316,InteresPres!$B$2:$W$14,Prestaciones!C316-1997+2,0),"0")/100</f>
        <v>0</v>
      </c>
      <c r="S316" s="323">
        <f t="shared" si="71"/>
        <v>0</v>
      </c>
      <c r="T316" s="323">
        <f t="shared" si="72"/>
        <v>0</v>
      </c>
      <c r="U316" s="5"/>
    </row>
    <row r="317" spans="2:21" x14ac:dyDescent="0.25">
      <c r="B317" s="4"/>
      <c r="C317" s="108">
        <f t="shared" si="63"/>
        <v>2036</v>
      </c>
      <c r="D317" s="109">
        <f t="shared" si="73"/>
        <v>6</v>
      </c>
      <c r="E317" s="110" t="str">
        <f>VLOOKUP(D317,FECHAS!$A$3:$B$14,2,0)</f>
        <v>Junio</v>
      </c>
      <c r="F317" s="319"/>
      <c r="G317" s="108">
        <f t="shared" si="64"/>
        <v>25</v>
      </c>
      <c r="H317" s="108">
        <f t="shared" si="62"/>
        <v>3</v>
      </c>
      <c r="I317" s="111">
        <f t="shared" si="74"/>
        <v>0</v>
      </c>
      <c r="J317" s="111">
        <v>5</v>
      </c>
      <c r="K317" s="111">
        <f t="shared" si="65"/>
        <v>0</v>
      </c>
      <c r="L317" s="111">
        <f t="shared" si="66"/>
        <v>0</v>
      </c>
      <c r="M317" s="143" t="str">
        <f t="shared" si="67"/>
        <v>LOTTT</v>
      </c>
      <c r="N317" s="108">
        <f t="shared" si="68"/>
        <v>0</v>
      </c>
      <c r="O317" s="321">
        <f t="shared" si="69"/>
        <v>0</v>
      </c>
      <c r="P317" s="322"/>
      <c r="Q317" s="321">
        <f t="shared" si="70"/>
        <v>0</v>
      </c>
      <c r="R317" s="173">
        <f>IF(ISNUMBER(VLOOKUP(E317,InteresPres!$B$2:$W$14,Prestaciones!C317-1997+2,0)),VLOOKUP(E317,InteresPres!$B$2:$W$14,Prestaciones!C317-1997+2,0),"0")/100</f>
        <v>0</v>
      </c>
      <c r="S317" s="323">
        <f t="shared" si="71"/>
        <v>0</v>
      </c>
      <c r="T317" s="323">
        <f t="shared" si="72"/>
        <v>0</v>
      </c>
      <c r="U317" s="5"/>
    </row>
    <row r="318" spans="2:21" x14ac:dyDescent="0.25">
      <c r="B318" s="4"/>
      <c r="C318" s="108">
        <f t="shared" si="63"/>
        <v>2036</v>
      </c>
      <c r="D318" s="109">
        <f t="shared" si="73"/>
        <v>7</v>
      </c>
      <c r="E318" s="110" t="str">
        <f>VLOOKUP(D318,FECHAS!$A$3:$B$14,2,0)</f>
        <v>Julio</v>
      </c>
      <c r="F318" s="319"/>
      <c r="G318" s="108">
        <f t="shared" si="64"/>
        <v>25</v>
      </c>
      <c r="H318" s="108">
        <f t="shared" si="62"/>
        <v>4</v>
      </c>
      <c r="I318" s="111">
        <f t="shared" si="74"/>
        <v>0</v>
      </c>
      <c r="J318" s="111">
        <v>5</v>
      </c>
      <c r="K318" s="111">
        <f t="shared" si="65"/>
        <v>15</v>
      </c>
      <c r="L318" s="111">
        <f t="shared" si="66"/>
        <v>0</v>
      </c>
      <c r="M318" s="143" t="str">
        <f t="shared" si="67"/>
        <v>LOTTT</v>
      </c>
      <c r="N318" s="108">
        <f t="shared" si="68"/>
        <v>15</v>
      </c>
      <c r="O318" s="321">
        <f t="shared" si="69"/>
        <v>0</v>
      </c>
      <c r="P318" s="322"/>
      <c r="Q318" s="321">
        <f t="shared" si="70"/>
        <v>0</v>
      </c>
      <c r="R318" s="173">
        <f>IF(ISNUMBER(VLOOKUP(E318,InteresPres!$B$2:$W$14,Prestaciones!C318-1997+2,0)),VLOOKUP(E318,InteresPres!$B$2:$W$14,Prestaciones!C318-1997+2,0),"0")/100</f>
        <v>0</v>
      </c>
      <c r="S318" s="323">
        <f t="shared" si="71"/>
        <v>0</v>
      </c>
      <c r="T318" s="323">
        <f t="shared" si="72"/>
        <v>0</v>
      </c>
      <c r="U318" s="5"/>
    </row>
    <row r="319" spans="2:21" x14ac:dyDescent="0.25">
      <c r="B319" s="4"/>
      <c r="C319" s="108">
        <f t="shared" si="63"/>
        <v>2036</v>
      </c>
      <c r="D319" s="109">
        <f t="shared" si="73"/>
        <v>8</v>
      </c>
      <c r="E319" s="110" t="str">
        <f>VLOOKUP(D319,FECHAS!$A$3:$B$14,2,0)</f>
        <v>Agosto</v>
      </c>
      <c r="F319" s="319"/>
      <c r="G319" s="108">
        <f t="shared" si="64"/>
        <v>25</v>
      </c>
      <c r="H319" s="108">
        <f t="shared" si="62"/>
        <v>5</v>
      </c>
      <c r="I319" s="111">
        <f t="shared" si="74"/>
        <v>0</v>
      </c>
      <c r="J319" s="111">
        <v>5</v>
      </c>
      <c r="K319" s="111">
        <f t="shared" si="65"/>
        <v>0</v>
      </c>
      <c r="L319" s="111">
        <f t="shared" si="66"/>
        <v>0</v>
      </c>
      <c r="M319" s="143" t="str">
        <f t="shared" si="67"/>
        <v>LOTTT</v>
      </c>
      <c r="N319" s="108">
        <f t="shared" si="68"/>
        <v>0</v>
      </c>
      <c r="O319" s="321">
        <f t="shared" si="69"/>
        <v>0</v>
      </c>
      <c r="P319" s="322"/>
      <c r="Q319" s="321">
        <f t="shared" si="70"/>
        <v>0</v>
      </c>
      <c r="R319" s="173">
        <f>IF(ISNUMBER(VLOOKUP(E319,InteresPres!$B$2:$W$14,Prestaciones!C319-1997+2,0)),VLOOKUP(E319,InteresPres!$B$2:$W$14,Prestaciones!C319-1997+2,0),"0")/100</f>
        <v>0</v>
      </c>
      <c r="S319" s="323">
        <f t="shared" si="71"/>
        <v>0</v>
      </c>
      <c r="T319" s="323">
        <f t="shared" si="72"/>
        <v>0</v>
      </c>
      <c r="U319" s="5"/>
    </row>
    <row r="320" spans="2:21" x14ac:dyDescent="0.25">
      <c r="B320" s="4"/>
      <c r="C320" s="108">
        <f t="shared" si="63"/>
        <v>2036</v>
      </c>
      <c r="D320" s="109">
        <f t="shared" si="73"/>
        <v>9</v>
      </c>
      <c r="E320" s="110" t="str">
        <f>VLOOKUP(D320,FECHAS!$A$3:$B$14,2,0)</f>
        <v>Septiembre</v>
      </c>
      <c r="F320" s="319"/>
      <c r="G320" s="108">
        <f t="shared" si="64"/>
        <v>25</v>
      </c>
      <c r="H320" s="108">
        <f t="shared" si="62"/>
        <v>6</v>
      </c>
      <c r="I320" s="111">
        <f t="shared" si="74"/>
        <v>0</v>
      </c>
      <c r="J320" s="111">
        <v>5</v>
      </c>
      <c r="K320" s="111">
        <f t="shared" si="65"/>
        <v>0</v>
      </c>
      <c r="L320" s="111">
        <f t="shared" si="66"/>
        <v>0</v>
      </c>
      <c r="M320" s="143" t="str">
        <f t="shared" si="67"/>
        <v>LOTTT</v>
      </c>
      <c r="N320" s="108">
        <f t="shared" si="68"/>
        <v>0</v>
      </c>
      <c r="O320" s="321">
        <f t="shared" si="69"/>
        <v>0</v>
      </c>
      <c r="P320" s="322"/>
      <c r="Q320" s="321">
        <f t="shared" si="70"/>
        <v>0</v>
      </c>
      <c r="R320" s="173">
        <f>IF(ISNUMBER(VLOOKUP(E320,InteresPres!$B$2:$W$14,Prestaciones!C320-1997+2,0)),VLOOKUP(E320,InteresPres!$B$2:$W$14,Prestaciones!C320-1997+2,0),"0")/100</f>
        <v>0</v>
      </c>
      <c r="S320" s="323">
        <f t="shared" si="71"/>
        <v>0</v>
      </c>
      <c r="T320" s="323">
        <f t="shared" si="72"/>
        <v>0</v>
      </c>
      <c r="U320" s="5"/>
    </row>
    <row r="321" spans="2:21" x14ac:dyDescent="0.25">
      <c r="B321" s="4"/>
      <c r="C321" s="108">
        <f t="shared" si="63"/>
        <v>2036</v>
      </c>
      <c r="D321" s="109">
        <f t="shared" si="73"/>
        <v>10</v>
      </c>
      <c r="E321" s="110" t="str">
        <f>VLOOKUP(D321,FECHAS!$A$3:$B$14,2,0)</f>
        <v>Octubre</v>
      </c>
      <c r="F321" s="319"/>
      <c r="G321" s="108">
        <f t="shared" si="64"/>
        <v>25</v>
      </c>
      <c r="H321" s="108">
        <f t="shared" si="62"/>
        <v>7</v>
      </c>
      <c r="I321" s="111">
        <f t="shared" si="74"/>
        <v>0</v>
      </c>
      <c r="J321" s="111">
        <v>5</v>
      </c>
      <c r="K321" s="111">
        <f t="shared" si="65"/>
        <v>15</v>
      </c>
      <c r="L321" s="111">
        <f t="shared" si="66"/>
        <v>0</v>
      </c>
      <c r="M321" s="143" t="str">
        <f t="shared" si="67"/>
        <v>LOTTT</v>
      </c>
      <c r="N321" s="108">
        <f t="shared" si="68"/>
        <v>15</v>
      </c>
      <c r="O321" s="321">
        <f t="shared" si="69"/>
        <v>0</v>
      </c>
      <c r="P321" s="322"/>
      <c r="Q321" s="321">
        <f t="shared" si="70"/>
        <v>0</v>
      </c>
      <c r="R321" s="173">
        <f>IF(ISNUMBER(VLOOKUP(E321,InteresPres!$B$2:$W$14,Prestaciones!C321-1997+2,0)),VLOOKUP(E321,InteresPres!$B$2:$W$14,Prestaciones!C321-1997+2,0),"0")/100</f>
        <v>0</v>
      </c>
      <c r="S321" s="323">
        <f t="shared" si="71"/>
        <v>0</v>
      </c>
      <c r="T321" s="323">
        <f t="shared" si="72"/>
        <v>0</v>
      </c>
      <c r="U321" s="5"/>
    </row>
    <row r="322" spans="2:21" x14ac:dyDescent="0.25">
      <c r="B322" s="4"/>
      <c r="C322" s="108">
        <f t="shared" si="63"/>
        <v>2036</v>
      </c>
      <c r="D322" s="109">
        <f t="shared" si="73"/>
        <v>11</v>
      </c>
      <c r="E322" s="110" t="str">
        <f>VLOOKUP(D322,FECHAS!$A$3:$B$14,2,0)</f>
        <v>Noviembre</v>
      </c>
      <c r="F322" s="319"/>
      <c r="G322" s="108">
        <f t="shared" si="64"/>
        <v>25</v>
      </c>
      <c r="H322" s="108">
        <f t="shared" si="62"/>
        <v>8</v>
      </c>
      <c r="I322" s="111">
        <f t="shared" si="74"/>
        <v>0</v>
      </c>
      <c r="J322" s="111">
        <v>5</v>
      </c>
      <c r="K322" s="111">
        <f t="shared" si="65"/>
        <v>0</v>
      </c>
      <c r="L322" s="111">
        <f t="shared" si="66"/>
        <v>0</v>
      </c>
      <c r="M322" s="143" t="str">
        <f t="shared" si="67"/>
        <v>LOTTT</v>
      </c>
      <c r="N322" s="108">
        <f t="shared" si="68"/>
        <v>0</v>
      </c>
      <c r="O322" s="321">
        <f t="shared" si="69"/>
        <v>0</v>
      </c>
      <c r="P322" s="322"/>
      <c r="Q322" s="321">
        <f t="shared" si="70"/>
        <v>0</v>
      </c>
      <c r="R322" s="173">
        <f>IF(ISNUMBER(VLOOKUP(E322,InteresPres!$B$2:$W$14,Prestaciones!C322-1997+2,0)),VLOOKUP(E322,InteresPres!$B$2:$W$14,Prestaciones!C322-1997+2,0),"0")/100</f>
        <v>0</v>
      </c>
      <c r="S322" s="323">
        <f t="shared" si="71"/>
        <v>0</v>
      </c>
      <c r="T322" s="323">
        <f t="shared" si="72"/>
        <v>0</v>
      </c>
      <c r="U322" s="5"/>
    </row>
    <row r="323" spans="2:21" x14ac:dyDescent="0.25">
      <c r="B323" s="4"/>
      <c r="C323" s="108">
        <f t="shared" si="63"/>
        <v>2036</v>
      </c>
      <c r="D323" s="109">
        <f t="shared" si="73"/>
        <v>12</v>
      </c>
      <c r="E323" s="110" t="str">
        <f>VLOOKUP(D323,FECHAS!$A$3:$B$14,2,0)</f>
        <v>Diciembre</v>
      </c>
      <c r="F323" s="319"/>
      <c r="G323" s="108">
        <f t="shared" si="64"/>
        <v>25</v>
      </c>
      <c r="H323" s="108">
        <f t="shared" si="62"/>
        <v>9</v>
      </c>
      <c r="I323" s="111">
        <f t="shared" si="74"/>
        <v>0</v>
      </c>
      <c r="J323" s="111">
        <v>5</v>
      </c>
      <c r="K323" s="111">
        <f t="shared" si="65"/>
        <v>0</v>
      </c>
      <c r="L323" s="111">
        <f t="shared" si="66"/>
        <v>0</v>
      </c>
      <c r="M323" s="143" t="str">
        <f t="shared" si="67"/>
        <v>LOTTT</v>
      </c>
      <c r="N323" s="108">
        <f t="shared" si="68"/>
        <v>0</v>
      </c>
      <c r="O323" s="321">
        <f t="shared" si="69"/>
        <v>0</v>
      </c>
      <c r="P323" s="322"/>
      <c r="Q323" s="321">
        <f t="shared" si="70"/>
        <v>0</v>
      </c>
      <c r="R323" s="173">
        <f>IF(ISNUMBER(VLOOKUP(E323,InteresPres!$B$2:$W$14,Prestaciones!C323-1997+2,0)),VLOOKUP(E323,InteresPres!$B$2:$W$14,Prestaciones!C323-1997+2,0),"0")/100</f>
        <v>0</v>
      </c>
      <c r="S323" s="323">
        <f t="shared" si="71"/>
        <v>0</v>
      </c>
      <c r="T323" s="323">
        <f t="shared" si="72"/>
        <v>0</v>
      </c>
      <c r="U323" s="5"/>
    </row>
    <row r="324" spans="2:21" x14ac:dyDescent="0.25">
      <c r="B324" s="4"/>
      <c r="C324" s="108">
        <f t="shared" si="63"/>
        <v>2037</v>
      </c>
      <c r="D324" s="109">
        <f t="shared" si="73"/>
        <v>1</v>
      </c>
      <c r="E324" s="110" t="str">
        <f>VLOOKUP(D324,FECHAS!$A$3:$B$14,2,0)</f>
        <v>Enero</v>
      </c>
      <c r="F324" s="319"/>
      <c r="G324" s="108">
        <f t="shared" si="64"/>
        <v>25</v>
      </c>
      <c r="H324" s="108">
        <f t="shared" si="62"/>
        <v>10</v>
      </c>
      <c r="I324" s="111">
        <f t="shared" si="74"/>
        <v>0</v>
      </c>
      <c r="J324" s="111">
        <v>5</v>
      </c>
      <c r="K324" s="111">
        <f t="shared" si="65"/>
        <v>15</v>
      </c>
      <c r="L324" s="111">
        <f t="shared" si="66"/>
        <v>0</v>
      </c>
      <c r="M324" s="143" t="str">
        <f t="shared" si="67"/>
        <v>LOTTT</v>
      </c>
      <c r="N324" s="108">
        <f t="shared" si="68"/>
        <v>15</v>
      </c>
      <c r="O324" s="321">
        <f t="shared" si="69"/>
        <v>0</v>
      </c>
      <c r="P324" s="322"/>
      <c r="Q324" s="321">
        <f t="shared" si="70"/>
        <v>0</v>
      </c>
      <c r="R324" s="173">
        <f>IF(ISNUMBER(VLOOKUP(E324,InteresPres!$B$2:$W$14,Prestaciones!C324-1997+2,0)),VLOOKUP(E324,InteresPres!$B$2:$W$14,Prestaciones!C324-1997+2,0),"0")/100</f>
        <v>0</v>
      </c>
      <c r="S324" s="323">
        <f t="shared" si="71"/>
        <v>0</v>
      </c>
      <c r="T324" s="323">
        <f t="shared" si="72"/>
        <v>0</v>
      </c>
      <c r="U324" s="5"/>
    </row>
    <row r="325" spans="2:21" x14ac:dyDescent="0.25">
      <c r="B325" s="4"/>
      <c r="C325" s="108">
        <f t="shared" si="63"/>
        <v>2037</v>
      </c>
      <c r="D325" s="109">
        <f t="shared" si="73"/>
        <v>2</v>
      </c>
      <c r="E325" s="110" t="str">
        <f>VLOOKUP(D325,FECHAS!$A$3:$B$14,2,0)</f>
        <v>Febrero</v>
      </c>
      <c r="F325" s="319"/>
      <c r="G325" s="108">
        <f t="shared" si="64"/>
        <v>25</v>
      </c>
      <c r="H325" s="108">
        <f t="shared" ref="H325:H385" si="75">IF(H324=11,0,H324+1)</f>
        <v>11</v>
      </c>
      <c r="I325" s="111">
        <f t="shared" si="74"/>
        <v>0</v>
      </c>
      <c r="J325" s="111">
        <v>5</v>
      </c>
      <c r="K325" s="111">
        <f t="shared" si="65"/>
        <v>0</v>
      </c>
      <c r="L325" s="111">
        <f t="shared" si="66"/>
        <v>0</v>
      </c>
      <c r="M325" s="143" t="str">
        <f t="shared" si="67"/>
        <v>LOTTT</v>
      </c>
      <c r="N325" s="108">
        <f t="shared" si="68"/>
        <v>0</v>
      </c>
      <c r="O325" s="321">
        <f t="shared" si="69"/>
        <v>0</v>
      </c>
      <c r="P325" s="322"/>
      <c r="Q325" s="321">
        <f t="shared" si="70"/>
        <v>0</v>
      </c>
      <c r="R325" s="173">
        <f>IF(ISNUMBER(VLOOKUP(E325,InteresPres!$B$2:$W$14,Prestaciones!C325-1997+2,0)),VLOOKUP(E325,InteresPres!$B$2:$W$14,Prestaciones!C325-1997+2,0),"0")/100</f>
        <v>0</v>
      </c>
      <c r="S325" s="323">
        <f t="shared" si="71"/>
        <v>0</v>
      </c>
      <c r="T325" s="323">
        <f t="shared" si="72"/>
        <v>0</v>
      </c>
      <c r="U325" s="5"/>
    </row>
    <row r="326" spans="2:21" x14ac:dyDescent="0.25">
      <c r="B326" s="4"/>
      <c r="C326" s="108">
        <f t="shared" si="63"/>
        <v>2037</v>
      </c>
      <c r="D326" s="109">
        <f t="shared" si="73"/>
        <v>3</v>
      </c>
      <c r="E326" s="110" t="str">
        <f>VLOOKUP(D326,FECHAS!$A$3:$B$14,2,0)</f>
        <v>Marzo</v>
      </c>
      <c r="F326" s="319"/>
      <c r="G326" s="108">
        <f t="shared" si="64"/>
        <v>26</v>
      </c>
      <c r="H326" s="108">
        <f t="shared" si="75"/>
        <v>0</v>
      </c>
      <c r="I326" s="111">
        <f t="shared" si="74"/>
        <v>30</v>
      </c>
      <c r="J326" s="111">
        <v>5</v>
      </c>
      <c r="K326" s="111">
        <f t="shared" si="65"/>
        <v>0</v>
      </c>
      <c r="L326" s="111">
        <f t="shared" si="66"/>
        <v>0</v>
      </c>
      <c r="M326" s="143" t="str">
        <f t="shared" si="67"/>
        <v>LOTTT</v>
      </c>
      <c r="N326" s="108">
        <f t="shared" si="68"/>
        <v>30</v>
      </c>
      <c r="O326" s="321">
        <f t="shared" si="69"/>
        <v>0</v>
      </c>
      <c r="P326" s="322"/>
      <c r="Q326" s="321">
        <f t="shared" si="70"/>
        <v>0</v>
      </c>
      <c r="R326" s="173">
        <f>IF(ISNUMBER(VLOOKUP(E326,InteresPres!$B$2:$W$14,Prestaciones!C326-1997+2,0)),VLOOKUP(E326,InteresPres!$B$2:$W$14,Prestaciones!C326-1997+2,0),"0")/100</f>
        <v>0</v>
      </c>
      <c r="S326" s="323">
        <f t="shared" si="71"/>
        <v>0</v>
      </c>
      <c r="T326" s="323">
        <f t="shared" si="72"/>
        <v>0</v>
      </c>
      <c r="U326" s="5"/>
    </row>
    <row r="327" spans="2:21" x14ac:dyDescent="0.25">
      <c r="B327" s="4"/>
      <c r="C327" s="108">
        <f t="shared" si="63"/>
        <v>2037</v>
      </c>
      <c r="D327" s="109">
        <f t="shared" si="73"/>
        <v>4</v>
      </c>
      <c r="E327" s="110" t="str">
        <f>VLOOKUP(D327,FECHAS!$A$3:$B$14,2,0)</f>
        <v>Abril</v>
      </c>
      <c r="F327" s="319"/>
      <c r="G327" s="108">
        <f t="shared" si="64"/>
        <v>26</v>
      </c>
      <c r="H327" s="108">
        <f t="shared" si="75"/>
        <v>1</v>
      </c>
      <c r="I327" s="111">
        <f t="shared" si="74"/>
        <v>0</v>
      </c>
      <c r="J327" s="111">
        <v>5</v>
      </c>
      <c r="K327" s="111">
        <f t="shared" si="65"/>
        <v>15</v>
      </c>
      <c r="L327" s="111">
        <f t="shared" si="66"/>
        <v>0</v>
      </c>
      <c r="M327" s="143" t="str">
        <f t="shared" si="67"/>
        <v>LOTTT</v>
      </c>
      <c r="N327" s="108">
        <f t="shared" si="68"/>
        <v>15</v>
      </c>
      <c r="O327" s="321">
        <f t="shared" si="69"/>
        <v>0</v>
      </c>
      <c r="P327" s="322"/>
      <c r="Q327" s="321">
        <f t="shared" si="70"/>
        <v>0</v>
      </c>
      <c r="R327" s="173">
        <f>IF(ISNUMBER(VLOOKUP(E327,InteresPres!$B$2:$W$14,Prestaciones!C327-1997+2,0)),VLOOKUP(E327,InteresPres!$B$2:$W$14,Prestaciones!C327-1997+2,0),"0")/100</f>
        <v>0</v>
      </c>
      <c r="S327" s="323">
        <f t="shared" si="71"/>
        <v>0</v>
      </c>
      <c r="T327" s="323">
        <f t="shared" si="72"/>
        <v>0</v>
      </c>
      <c r="U327" s="5"/>
    </row>
    <row r="328" spans="2:21" x14ac:dyDescent="0.25">
      <c r="B328" s="4"/>
      <c r="C328" s="108">
        <f t="shared" si="63"/>
        <v>2037</v>
      </c>
      <c r="D328" s="109">
        <f t="shared" si="73"/>
        <v>5</v>
      </c>
      <c r="E328" s="110" t="str">
        <f>VLOOKUP(D328,FECHAS!$A$3:$B$14,2,0)</f>
        <v>Mayo</v>
      </c>
      <c r="F328" s="319"/>
      <c r="G328" s="108">
        <f t="shared" si="64"/>
        <v>26</v>
      </c>
      <c r="H328" s="108">
        <f t="shared" si="75"/>
        <v>2</v>
      </c>
      <c r="I328" s="111">
        <f t="shared" si="74"/>
        <v>0</v>
      </c>
      <c r="J328" s="111">
        <v>5</v>
      </c>
      <c r="K328" s="111">
        <f t="shared" si="65"/>
        <v>0</v>
      </c>
      <c r="L328" s="111">
        <f t="shared" si="66"/>
        <v>0</v>
      </c>
      <c r="M328" s="143" t="str">
        <f t="shared" si="67"/>
        <v>LOTTT</v>
      </c>
      <c r="N328" s="108">
        <f t="shared" si="68"/>
        <v>0</v>
      </c>
      <c r="O328" s="321">
        <f t="shared" si="69"/>
        <v>0</v>
      </c>
      <c r="P328" s="322"/>
      <c r="Q328" s="321">
        <f t="shared" si="70"/>
        <v>0</v>
      </c>
      <c r="R328" s="173">
        <f>IF(ISNUMBER(VLOOKUP(E328,InteresPres!$B$2:$W$14,Prestaciones!C328-1997+2,0)),VLOOKUP(E328,InteresPres!$B$2:$W$14,Prestaciones!C328-1997+2,0),"0")/100</f>
        <v>0</v>
      </c>
      <c r="S328" s="323">
        <f t="shared" si="71"/>
        <v>0</v>
      </c>
      <c r="T328" s="323">
        <f t="shared" si="72"/>
        <v>0</v>
      </c>
      <c r="U328" s="5"/>
    </row>
    <row r="329" spans="2:21" x14ac:dyDescent="0.25">
      <c r="B329" s="4"/>
      <c r="C329" s="108">
        <f t="shared" si="63"/>
        <v>2037</v>
      </c>
      <c r="D329" s="109">
        <f t="shared" si="73"/>
        <v>6</v>
      </c>
      <c r="E329" s="110" t="str">
        <f>VLOOKUP(D329,FECHAS!$A$3:$B$14,2,0)</f>
        <v>Junio</v>
      </c>
      <c r="F329" s="319"/>
      <c r="G329" s="108">
        <f t="shared" si="64"/>
        <v>26</v>
      </c>
      <c r="H329" s="108">
        <f t="shared" si="75"/>
        <v>3</v>
      </c>
      <c r="I329" s="111">
        <f t="shared" si="74"/>
        <v>0</v>
      </c>
      <c r="J329" s="111">
        <v>5</v>
      </c>
      <c r="K329" s="111">
        <f t="shared" si="65"/>
        <v>0</v>
      </c>
      <c r="L329" s="111">
        <f t="shared" si="66"/>
        <v>0</v>
      </c>
      <c r="M329" s="143" t="str">
        <f t="shared" si="67"/>
        <v>LOTTT</v>
      </c>
      <c r="N329" s="108">
        <f t="shared" si="68"/>
        <v>0</v>
      </c>
      <c r="O329" s="321">
        <f t="shared" si="69"/>
        <v>0</v>
      </c>
      <c r="P329" s="322"/>
      <c r="Q329" s="321">
        <f t="shared" si="70"/>
        <v>0</v>
      </c>
      <c r="R329" s="173">
        <f>IF(ISNUMBER(VLOOKUP(E329,InteresPres!$B$2:$W$14,Prestaciones!C329-1997+2,0)),VLOOKUP(E329,InteresPres!$B$2:$W$14,Prestaciones!C329-1997+2,0),"0")/100</f>
        <v>0</v>
      </c>
      <c r="S329" s="323">
        <f t="shared" si="71"/>
        <v>0</v>
      </c>
      <c r="T329" s="323">
        <f t="shared" si="72"/>
        <v>0</v>
      </c>
      <c r="U329" s="5"/>
    </row>
    <row r="330" spans="2:21" x14ac:dyDescent="0.25">
      <c r="B330" s="4"/>
      <c r="C330" s="108">
        <f t="shared" si="63"/>
        <v>2037</v>
      </c>
      <c r="D330" s="109">
        <f t="shared" si="73"/>
        <v>7</v>
      </c>
      <c r="E330" s="110" t="str">
        <f>VLOOKUP(D330,FECHAS!$A$3:$B$14,2,0)</f>
        <v>Julio</v>
      </c>
      <c r="F330" s="319"/>
      <c r="G330" s="108">
        <f t="shared" si="64"/>
        <v>26</v>
      </c>
      <c r="H330" s="108">
        <f t="shared" si="75"/>
        <v>4</v>
      </c>
      <c r="I330" s="111">
        <f t="shared" si="74"/>
        <v>0</v>
      </c>
      <c r="J330" s="111">
        <v>5</v>
      </c>
      <c r="K330" s="111">
        <f t="shared" si="65"/>
        <v>15</v>
      </c>
      <c r="L330" s="111">
        <f t="shared" si="66"/>
        <v>0</v>
      </c>
      <c r="M330" s="143" t="str">
        <f t="shared" si="67"/>
        <v>LOTTT</v>
      </c>
      <c r="N330" s="108">
        <f t="shared" si="68"/>
        <v>15</v>
      </c>
      <c r="O330" s="321">
        <f t="shared" si="69"/>
        <v>0</v>
      </c>
      <c r="P330" s="322"/>
      <c r="Q330" s="321">
        <f t="shared" si="70"/>
        <v>0</v>
      </c>
      <c r="R330" s="173">
        <f>IF(ISNUMBER(VLOOKUP(E330,InteresPres!$B$2:$W$14,Prestaciones!C330-1997+2,0)),VLOOKUP(E330,InteresPres!$B$2:$W$14,Prestaciones!C330-1997+2,0),"0")/100</f>
        <v>0</v>
      </c>
      <c r="S330" s="323">
        <f t="shared" si="71"/>
        <v>0</v>
      </c>
      <c r="T330" s="323">
        <f t="shared" si="72"/>
        <v>0</v>
      </c>
      <c r="U330" s="5"/>
    </row>
    <row r="331" spans="2:21" x14ac:dyDescent="0.25">
      <c r="B331" s="4"/>
      <c r="C331" s="108">
        <f t="shared" si="63"/>
        <v>2037</v>
      </c>
      <c r="D331" s="109">
        <f t="shared" si="73"/>
        <v>8</v>
      </c>
      <c r="E331" s="110" t="str">
        <f>VLOOKUP(D331,FECHAS!$A$3:$B$14,2,0)</f>
        <v>Agosto</v>
      </c>
      <c r="F331" s="319"/>
      <c r="G331" s="108">
        <f t="shared" si="64"/>
        <v>26</v>
      </c>
      <c r="H331" s="108">
        <f t="shared" si="75"/>
        <v>5</v>
      </c>
      <c r="I331" s="111">
        <f t="shared" si="74"/>
        <v>0</v>
      </c>
      <c r="J331" s="111">
        <v>5</v>
      </c>
      <c r="K331" s="111">
        <f t="shared" si="65"/>
        <v>0</v>
      </c>
      <c r="L331" s="111">
        <f t="shared" si="66"/>
        <v>0</v>
      </c>
      <c r="M331" s="143" t="str">
        <f t="shared" si="67"/>
        <v>LOTTT</v>
      </c>
      <c r="N331" s="108">
        <f t="shared" si="68"/>
        <v>0</v>
      </c>
      <c r="O331" s="321">
        <f t="shared" si="69"/>
        <v>0</v>
      </c>
      <c r="P331" s="322"/>
      <c r="Q331" s="321">
        <f t="shared" si="70"/>
        <v>0</v>
      </c>
      <c r="R331" s="173">
        <f>IF(ISNUMBER(VLOOKUP(E331,InteresPres!$B$2:$W$14,Prestaciones!C331-1997+2,0)),VLOOKUP(E331,InteresPres!$B$2:$W$14,Prestaciones!C331-1997+2,0),"0")/100</f>
        <v>0</v>
      </c>
      <c r="S331" s="323">
        <f t="shared" si="71"/>
        <v>0</v>
      </c>
      <c r="T331" s="323">
        <f t="shared" si="72"/>
        <v>0</v>
      </c>
      <c r="U331" s="5"/>
    </row>
    <row r="332" spans="2:21" x14ac:dyDescent="0.25">
      <c r="B332" s="4"/>
      <c r="C332" s="108">
        <f t="shared" si="63"/>
        <v>2037</v>
      </c>
      <c r="D332" s="109">
        <f t="shared" si="73"/>
        <v>9</v>
      </c>
      <c r="E332" s="110" t="str">
        <f>VLOOKUP(D332,FECHAS!$A$3:$B$14,2,0)</f>
        <v>Septiembre</v>
      </c>
      <c r="F332" s="319"/>
      <c r="G332" s="108">
        <f t="shared" si="64"/>
        <v>26</v>
      </c>
      <c r="H332" s="108">
        <f t="shared" si="75"/>
        <v>6</v>
      </c>
      <c r="I332" s="111">
        <f t="shared" si="74"/>
        <v>0</v>
      </c>
      <c r="J332" s="111">
        <v>5</v>
      </c>
      <c r="K332" s="111">
        <f t="shared" si="65"/>
        <v>0</v>
      </c>
      <c r="L332" s="111">
        <f t="shared" si="66"/>
        <v>0</v>
      </c>
      <c r="M332" s="143" t="str">
        <f t="shared" si="67"/>
        <v>LOTTT</v>
      </c>
      <c r="N332" s="108">
        <f t="shared" si="68"/>
        <v>0</v>
      </c>
      <c r="O332" s="321">
        <f t="shared" si="69"/>
        <v>0</v>
      </c>
      <c r="P332" s="322"/>
      <c r="Q332" s="321">
        <f t="shared" si="70"/>
        <v>0</v>
      </c>
      <c r="R332" s="173">
        <f>IF(ISNUMBER(VLOOKUP(E332,InteresPres!$B$2:$W$14,Prestaciones!C332-1997+2,0)),VLOOKUP(E332,InteresPres!$B$2:$W$14,Prestaciones!C332-1997+2,0),"0")/100</f>
        <v>0</v>
      </c>
      <c r="S332" s="323">
        <f t="shared" si="71"/>
        <v>0</v>
      </c>
      <c r="T332" s="323">
        <f t="shared" si="72"/>
        <v>0</v>
      </c>
      <c r="U332" s="5"/>
    </row>
    <row r="333" spans="2:21" x14ac:dyDescent="0.25">
      <c r="B333" s="4"/>
      <c r="C333" s="108">
        <f t="shared" si="63"/>
        <v>2037</v>
      </c>
      <c r="D333" s="109">
        <f t="shared" si="73"/>
        <v>10</v>
      </c>
      <c r="E333" s="110" t="str">
        <f>VLOOKUP(D333,FECHAS!$A$3:$B$14,2,0)</f>
        <v>Octubre</v>
      </c>
      <c r="F333" s="319"/>
      <c r="G333" s="108">
        <f t="shared" si="64"/>
        <v>26</v>
      </c>
      <c r="H333" s="108">
        <f t="shared" si="75"/>
        <v>7</v>
      </c>
      <c r="I333" s="111">
        <f t="shared" si="74"/>
        <v>0</v>
      </c>
      <c r="J333" s="111">
        <v>5</v>
      </c>
      <c r="K333" s="111">
        <f t="shared" si="65"/>
        <v>15</v>
      </c>
      <c r="L333" s="111">
        <f t="shared" si="66"/>
        <v>0</v>
      </c>
      <c r="M333" s="143" t="str">
        <f t="shared" si="67"/>
        <v>LOTTT</v>
      </c>
      <c r="N333" s="108">
        <f t="shared" si="68"/>
        <v>15</v>
      </c>
      <c r="O333" s="321">
        <f t="shared" si="69"/>
        <v>0</v>
      </c>
      <c r="P333" s="322"/>
      <c r="Q333" s="321">
        <f t="shared" si="70"/>
        <v>0</v>
      </c>
      <c r="R333" s="173">
        <f>IF(ISNUMBER(VLOOKUP(E333,InteresPres!$B$2:$W$14,Prestaciones!C333-1997+2,0)),VLOOKUP(E333,InteresPres!$B$2:$W$14,Prestaciones!C333-1997+2,0),"0")/100</f>
        <v>0</v>
      </c>
      <c r="S333" s="323">
        <f t="shared" si="71"/>
        <v>0</v>
      </c>
      <c r="T333" s="323">
        <f t="shared" si="72"/>
        <v>0</v>
      </c>
      <c r="U333" s="5"/>
    </row>
    <row r="334" spans="2:21" x14ac:dyDescent="0.25">
      <c r="B334" s="4"/>
      <c r="C334" s="108">
        <f t="shared" ref="C334:C385" si="76">IF(D333=12,C333+1,C333)</f>
        <v>2037</v>
      </c>
      <c r="D334" s="109">
        <f t="shared" si="73"/>
        <v>11</v>
      </c>
      <c r="E334" s="110" t="str">
        <f>VLOOKUP(D334,FECHAS!$A$3:$B$14,2,0)</f>
        <v>Noviembre</v>
      </c>
      <c r="F334" s="319"/>
      <c r="G334" s="108">
        <f t="shared" ref="G334:G385" si="77">IF(H333=11,G333+1,G333)</f>
        <v>26</v>
      </c>
      <c r="H334" s="108">
        <f t="shared" si="75"/>
        <v>8</v>
      </c>
      <c r="I334" s="111">
        <f t="shared" si="74"/>
        <v>0</v>
      </c>
      <c r="J334" s="111">
        <v>5</v>
      </c>
      <c r="K334" s="111">
        <f t="shared" ref="K334:K385" si="78">IF(OR(D334=7,D334=10,D334=1,D334=4),15,0)</f>
        <v>0</v>
      </c>
      <c r="L334" s="111">
        <f t="shared" ref="L334:L385" si="79">IF(AND(C334=2012,D334=6),-5,0)</f>
        <v>0</v>
      </c>
      <c r="M334" s="143" t="str">
        <f t="shared" ref="M334:M385" si="80">IF(OR(AND(C334&gt;=2012,D334&gt;=5),C334&gt;2012),"LOTTT","LOT")</f>
        <v>LOTTT</v>
      </c>
      <c r="N334" s="108">
        <f t="shared" ref="N334:N385" si="81">IF(M334="LOT",I334+J334,I334+K334)</f>
        <v>0</v>
      </c>
      <c r="O334" s="321">
        <f t="shared" ref="O334:O385" si="82">(F334/30)*N334</f>
        <v>0</v>
      </c>
      <c r="P334" s="322"/>
      <c r="Q334" s="321">
        <f t="shared" ref="Q334:Q385" si="83">IF(F334&gt;0,O334+Q333+P334,0)</f>
        <v>0</v>
      </c>
      <c r="R334" s="173">
        <f>IF(ISNUMBER(VLOOKUP(E334,InteresPres!$B$2:$W$14,Prestaciones!C334-1997+2,0)),VLOOKUP(E334,InteresPres!$B$2:$W$14,Prestaciones!C334-1997+2,0),"0")/100</f>
        <v>0</v>
      </c>
      <c r="S334" s="323">
        <f t="shared" ref="S334:S385" si="84">IF(F334&gt;0,(R334/12)*Q334,0)</f>
        <v>0</v>
      </c>
      <c r="T334" s="323">
        <f t="shared" ref="T334:T385" si="85">IF(F334&gt;0,S334+T333,0)</f>
        <v>0</v>
      </c>
      <c r="U334" s="5"/>
    </row>
    <row r="335" spans="2:21" x14ac:dyDescent="0.25">
      <c r="B335" s="4"/>
      <c r="C335" s="108">
        <f t="shared" si="76"/>
        <v>2037</v>
      </c>
      <c r="D335" s="109">
        <f t="shared" si="73"/>
        <v>12</v>
      </c>
      <c r="E335" s="110" t="str">
        <f>VLOOKUP(D335,FECHAS!$A$3:$B$14,2,0)</f>
        <v>Diciembre</v>
      </c>
      <c r="F335" s="319"/>
      <c r="G335" s="108">
        <f t="shared" si="77"/>
        <v>26</v>
      </c>
      <c r="H335" s="108">
        <f t="shared" si="75"/>
        <v>9</v>
      </c>
      <c r="I335" s="111">
        <f t="shared" si="74"/>
        <v>0</v>
      </c>
      <c r="J335" s="111">
        <v>5</v>
      </c>
      <c r="K335" s="111">
        <f t="shared" si="78"/>
        <v>0</v>
      </c>
      <c r="L335" s="111">
        <f t="shared" si="79"/>
        <v>0</v>
      </c>
      <c r="M335" s="143" t="str">
        <f t="shared" si="80"/>
        <v>LOTTT</v>
      </c>
      <c r="N335" s="108">
        <f t="shared" si="81"/>
        <v>0</v>
      </c>
      <c r="O335" s="321">
        <f t="shared" si="82"/>
        <v>0</v>
      </c>
      <c r="P335" s="322"/>
      <c r="Q335" s="321">
        <f t="shared" si="83"/>
        <v>0</v>
      </c>
      <c r="R335" s="173">
        <f>IF(ISNUMBER(VLOOKUP(E335,InteresPres!$B$2:$W$14,Prestaciones!C335-1997+2,0)),VLOOKUP(E335,InteresPres!$B$2:$W$14,Prestaciones!C335-1997+2,0),"0")/100</f>
        <v>0</v>
      </c>
      <c r="S335" s="323">
        <f t="shared" si="84"/>
        <v>0</v>
      </c>
      <c r="T335" s="323">
        <f t="shared" si="85"/>
        <v>0</v>
      </c>
      <c r="U335" s="5"/>
    </row>
    <row r="336" spans="2:21" x14ac:dyDescent="0.25">
      <c r="B336" s="4"/>
      <c r="C336" s="108">
        <f t="shared" si="76"/>
        <v>2038</v>
      </c>
      <c r="D336" s="109">
        <f t="shared" ref="D336:D385" si="86">IF(D335=12,1,D335+1)</f>
        <v>1</v>
      </c>
      <c r="E336" s="110" t="str">
        <f>VLOOKUP(D336,FECHAS!$A$3:$B$14,2,0)</f>
        <v>Enero</v>
      </c>
      <c r="F336" s="319"/>
      <c r="G336" s="108">
        <f t="shared" si="77"/>
        <v>26</v>
      </c>
      <c r="H336" s="108">
        <f t="shared" si="75"/>
        <v>10</v>
      </c>
      <c r="I336" s="111">
        <f t="shared" ref="I336:I385" si="87">lottt192(G336,H335)</f>
        <v>0</v>
      </c>
      <c r="J336" s="111">
        <v>5</v>
      </c>
      <c r="K336" s="111">
        <f t="shared" si="78"/>
        <v>15</v>
      </c>
      <c r="L336" s="111">
        <f t="shared" si="79"/>
        <v>0</v>
      </c>
      <c r="M336" s="143" t="str">
        <f t="shared" si="80"/>
        <v>LOTTT</v>
      </c>
      <c r="N336" s="108">
        <f t="shared" si="81"/>
        <v>15</v>
      </c>
      <c r="O336" s="321">
        <f t="shared" si="82"/>
        <v>0</v>
      </c>
      <c r="P336" s="322"/>
      <c r="Q336" s="321">
        <f t="shared" si="83"/>
        <v>0</v>
      </c>
      <c r="R336" s="173">
        <f>IF(ISNUMBER(VLOOKUP(E336,InteresPres!$B$2:$W$14,Prestaciones!C336-1997+2,0)),VLOOKUP(E336,InteresPres!$B$2:$W$14,Prestaciones!C336-1997+2,0),"0")/100</f>
        <v>0</v>
      </c>
      <c r="S336" s="323">
        <f t="shared" si="84"/>
        <v>0</v>
      </c>
      <c r="T336" s="323">
        <f t="shared" si="85"/>
        <v>0</v>
      </c>
      <c r="U336" s="5"/>
    </row>
    <row r="337" spans="2:21" x14ac:dyDescent="0.25">
      <c r="B337" s="4"/>
      <c r="C337" s="108">
        <f t="shared" si="76"/>
        <v>2038</v>
      </c>
      <c r="D337" s="109">
        <f t="shared" si="86"/>
        <v>2</v>
      </c>
      <c r="E337" s="110" t="str">
        <f>VLOOKUP(D337,FECHAS!$A$3:$B$14,2,0)</f>
        <v>Febrero</v>
      </c>
      <c r="F337" s="319"/>
      <c r="G337" s="108">
        <f t="shared" si="77"/>
        <v>26</v>
      </c>
      <c r="H337" s="108">
        <f t="shared" si="75"/>
        <v>11</v>
      </c>
      <c r="I337" s="111">
        <f t="shared" si="87"/>
        <v>0</v>
      </c>
      <c r="J337" s="111">
        <v>5</v>
      </c>
      <c r="K337" s="111">
        <f t="shared" si="78"/>
        <v>0</v>
      </c>
      <c r="L337" s="111">
        <f t="shared" si="79"/>
        <v>0</v>
      </c>
      <c r="M337" s="143" t="str">
        <f t="shared" si="80"/>
        <v>LOTTT</v>
      </c>
      <c r="N337" s="108">
        <f t="shared" si="81"/>
        <v>0</v>
      </c>
      <c r="O337" s="321">
        <f t="shared" si="82"/>
        <v>0</v>
      </c>
      <c r="P337" s="322"/>
      <c r="Q337" s="321">
        <f t="shared" si="83"/>
        <v>0</v>
      </c>
      <c r="R337" s="173">
        <f>IF(ISNUMBER(VLOOKUP(E337,InteresPres!$B$2:$W$14,Prestaciones!C337-1997+2,0)),VLOOKUP(E337,InteresPres!$B$2:$W$14,Prestaciones!C337-1997+2,0),"0")/100</f>
        <v>0</v>
      </c>
      <c r="S337" s="323">
        <f t="shared" si="84"/>
        <v>0</v>
      </c>
      <c r="T337" s="323">
        <f t="shared" si="85"/>
        <v>0</v>
      </c>
      <c r="U337" s="5"/>
    </row>
    <row r="338" spans="2:21" x14ac:dyDescent="0.25">
      <c r="B338" s="4"/>
      <c r="C338" s="108">
        <f t="shared" si="76"/>
        <v>2038</v>
      </c>
      <c r="D338" s="109">
        <f t="shared" si="86"/>
        <v>3</v>
      </c>
      <c r="E338" s="110" t="str">
        <f>VLOOKUP(D338,FECHAS!$A$3:$B$14,2,0)</f>
        <v>Marzo</v>
      </c>
      <c r="F338" s="319"/>
      <c r="G338" s="108">
        <f t="shared" si="77"/>
        <v>27</v>
      </c>
      <c r="H338" s="108">
        <f t="shared" si="75"/>
        <v>0</v>
      </c>
      <c r="I338" s="111">
        <f t="shared" si="87"/>
        <v>30</v>
      </c>
      <c r="J338" s="111">
        <v>5</v>
      </c>
      <c r="K338" s="111">
        <f t="shared" si="78"/>
        <v>0</v>
      </c>
      <c r="L338" s="111">
        <f t="shared" si="79"/>
        <v>0</v>
      </c>
      <c r="M338" s="143" t="str">
        <f t="shared" si="80"/>
        <v>LOTTT</v>
      </c>
      <c r="N338" s="108">
        <f t="shared" si="81"/>
        <v>30</v>
      </c>
      <c r="O338" s="321">
        <f t="shared" si="82"/>
        <v>0</v>
      </c>
      <c r="P338" s="322"/>
      <c r="Q338" s="321">
        <f t="shared" si="83"/>
        <v>0</v>
      </c>
      <c r="R338" s="173">
        <f>IF(ISNUMBER(VLOOKUP(E338,InteresPres!$B$2:$W$14,Prestaciones!C338-1997+2,0)),VLOOKUP(E338,InteresPres!$B$2:$W$14,Prestaciones!C338-1997+2,0),"0")/100</f>
        <v>0</v>
      </c>
      <c r="S338" s="323">
        <f t="shared" si="84"/>
        <v>0</v>
      </c>
      <c r="T338" s="323">
        <f t="shared" si="85"/>
        <v>0</v>
      </c>
      <c r="U338" s="5"/>
    </row>
    <row r="339" spans="2:21" x14ac:dyDescent="0.25">
      <c r="B339" s="4"/>
      <c r="C339" s="108">
        <f t="shared" si="76"/>
        <v>2038</v>
      </c>
      <c r="D339" s="109">
        <f t="shared" si="86"/>
        <v>4</v>
      </c>
      <c r="E339" s="110" t="str">
        <f>VLOOKUP(D339,FECHAS!$A$3:$B$14,2,0)</f>
        <v>Abril</v>
      </c>
      <c r="F339" s="319"/>
      <c r="G339" s="108">
        <f t="shared" si="77"/>
        <v>27</v>
      </c>
      <c r="H339" s="108">
        <f t="shared" si="75"/>
        <v>1</v>
      </c>
      <c r="I339" s="111">
        <f t="shared" si="87"/>
        <v>0</v>
      </c>
      <c r="J339" s="111">
        <v>5</v>
      </c>
      <c r="K339" s="111">
        <f t="shared" si="78"/>
        <v>15</v>
      </c>
      <c r="L339" s="111">
        <f t="shared" si="79"/>
        <v>0</v>
      </c>
      <c r="M339" s="143" t="str">
        <f t="shared" si="80"/>
        <v>LOTTT</v>
      </c>
      <c r="N339" s="108">
        <f t="shared" si="81"/>
        <v>15</v>
      </c>
      <c r="O339" s="321">
        <f t="shared" si="82"/>
        <v>0</v>
      </c>
      <c r="P339" s="322"/>
      <c r="Q339" s="321">
        <f t="shared" si="83"/>
        <v>0</v>
      </c>
      <c r="R339" s="173">
        <f>IF(ISNUMBER(VLOOKUP(E339,InteresPres!$B$2:$W$14,Prestaciones!C339-1997+2,0)),VLOOKUP(E339,InteresPres!$B$2:$W$14,Prestaciones!C339-1997+2,0),"0")/100</f>
        <v>0</v>
      </c>
      <c r="S339" s="323">
        <f t="shared" si="84"/>
        <v>0</v>
      </c>
      <c r="T339" s="323">
        <f t="shared" si="85"/>
        <v>0</v>
      </c>
      <c r="U339" s="5"/>
    </row>
    <row r="340" spans="2:21" x14ac:dyDescent="0.25">
      <c r="B340" s="4"/>
      <c r="C340" s="108">
        <f t="shared" si="76"/>
        <v>2038</v>
      </c>
      <c r="D340" s="109">
        <f t="shared" si="86"/>
        <v>5</v>
      </c>
      <c r="E340" s="110" t="str">
        <f>VLOOKUP(D340,FECHAS!$A$3:$B$14,2,0)</f>
        <v>Mayo</v>
      </c>
      <c r="F340" s="319"/>
      <c r="G340" s="108">
        <f t="shared" si="77"/>
        <v>27</v>
      </c>
      <c r="H340" s="108">
        <f t="shared" si="75"/>
        <v>2</v>
      </c>
      <c r="I340" s="111">
        <f t="shared" si="87"/>
        <v>0</v>
      </c>
      <c r="J340" s="111">
        <v>5</v>
      </c>
      <c r="K340" s="111">
        <f t="shared" si="78"/>
        <v>0</v>
      </c>
      <c r="L340" s="111">
        <f t="shared" si="79"/>
        <v>0</v>
      </c>
      <c r="M340" s="143" t="str">
        <f t="shared" si="80"/>
        <v>LOTTT</v>
      </c>
      <c r="N340" s="108">
        <f t="shared" si="81"/>
        <v>0</v>
      </c>
      <c r="O340" s="321">
        <f t="shared" si="82"/>
        <v>0</v>
      </c>
      <c r="P340" s="322"/>
      <c r="Q340" s="321">
        <f t="shared" si="83"/>
        <v>0</v>
      </c>
      <c r="R340" s="173">
        <f>IF(ISNUMBER(VLOOKUP(E340,InteresPres!$B$2:$W$14,Prestaciones!C340-1997+2,0)),VLOOKUP(E340,InteresPres!$B$2:$W$14,Prestaciones!C340-1997+2,0),"0")/100</f>
        <v>0</v>
      </c>
      <c r="S340" s="323">
        <f t="shared" si="84"/>
        <v>0</v>
      </c>
      <c r="T340" s="323">
        <f t="shared" si="85"/>
        <v>0</v>
      </c>
      <c r="U340" s="5"/>
    </row>
    <row r="341" spans="2:21" x14ac:dyDescent="0.25">
      <c r="B341" s="4"/>
      <c r="C341" s="108">
        <f t="shared" si="76"/>
        <v>2038</v>
      </c>
      <c r="D341" s="109">
        <f t="shared" si="86"/>
        <v>6</v>
      </c>
      <c r="E341" s="110" t="str">
        <f>VLOOKUP(D341,FECHAS!$A$3:$B$14,2,0)</f>
        <v>Junio</v>
      </c>
      <c r="F341" s="319"/>
      <c r="G341" s="108">
        <f t="shared" si="77"/>
        <v>27</v>
      </c>
      <c r="H341" s="108">
        <f t="shared" si="75"/>
        <v>3</v>
      </c>
      <c r="I341" s="111">
        <f t="shared" si="87"/>
        <v>0</v>
      </c>
      <c r="J341" s="111">
        <v>5</v>
      </c>
      <c r="K341" s="111">
        <f t="shared" si="78"/>
        <v>0</v>
      </c>
      <c r="L341" s="111">
        <f t="shared" si="79"/>
        <v>0</v>
      </c>
      <c r="M341" s="143" t="str">
        <f t="shared" si="80"/>
        <v>LOTTT</v>
      </c>
      <c r="N341" s="108">
        <f t="shared" si="81"/>
        <v>0</v>
      </c>
      <c r="O341" s="321">
        <f t="shared" si="82"/>
        <v>0</v>
      </c>
      <c r="P341" s="322"/>
      <c r="Q341" s="321">
        <f t="shared" si="83"/>
        <v>0</v>
      </c>
      <c r="R341" s="173">
        <f>IF(ISNUMBER(VLOOKUP(E341,InteresPres!$B$2:$W$14,Prestaciones!C341-1997+2,0)),VLOOKUP(E341,InteresPres!$B$2:$W$14,Prestaciones!C341-1997+2,0),"0")/100</f>
        <v>0</v>
      </c>
      <c r="S341" s="323">
        <f t="shared" si="84"/>
        <v>0</v>
      </c>
      <c r="T341" s="323">
        <f t="shared" si="85"/>
        <v>0</v>
      </c>
      <c r="U341" s="5"/>
    </row>
    <row r="342" spans="2:21" x14ac:dyDescent="0.25">
      <c r="B342" s="4"/>
      <c r="C342" s="108">
        <f t="shared" si="76"/>
        <v>2038</v>
      </c>
      <c r="D342" s="109">
        <f t="shared" si="86"/>
        <v>7</v>
      </c>
      <c r="E342" s="110" t="str">
        <f>VLOOKUP(D342,FECHAS!$A$3:$B$14,2,0)</f>
        <v>Julio</v>
      </c>
      <c r="F342" s="319"/>
      <c r="G342" s="108">
        <f t="shared" si="77"/>
        <v>27</v>
      </c>
      <c r="H342" s="108">
        <f t="shared" si="75"/>
        <v>4</v>
      </c>
      <c r="I342" s="111">
        <f t="shared" si="87"/>
        <v>0</v>
      </c>
      <c r="J342" s="111">
        <v>5</v>
      </c>
      <c r="K342" s="111">
        <f t="shared" si="78"/>
        <v>15</v>
      </c>
      <c r="L342" s="111">
        <f t="shared" si="79"/>
        <v>0</v>
      </c>
      <c r="M342" s="143" t="str">
        <f t="shared" si="80"/>
        <v>LOTTT</v>
      </c>
      <c r="N342" s="108">
        <f t="shared" si="81"/>
        <v>15</v>
      </c>
      <c r="O342" s="321">
        <f t="shared" si="82"/>
        <v>0</v>
      </c>
      <c r="P342" s="322"/>
      <c r="Q342" s="321">
        <f t="shared" si="83"/>
        <v>0</v>
      </c>
      <c r="R342" s="173">
        <f>IF(ISNUMBER(VLOOKUP(E342,InteresPres!$B$2:$W$14,Prestaciones!C342-1997+2,0)),VLOOKUP(E342,InteresPres!$B$2:$W$14,Prestaciones!C342-1997+2,0),"0")/100</f>
        <v>0</v>
      </c>
      <c r="S342" s="323">
        <f t="shared" si="84"/>
        <v>0</v>
      </c>
      <c r="T342" s="323">
        <f t="shared" si="85"/>
        <v>0</v>
      </c>
      <c r="U342" s="5"/>
    </row>
    <row r="343" spans="2:21" x14ac:dyDescent="0.25">
      <c r="B343" s="4"/>
      <c r="C343" s="108">
        <f t="shared" si="76"/>
        <v>2038</v>
      </c>
      <c r="D343" s="109">
        <f t="shared" si="86"/>
        <v>8</v>
      </c>
      <c r="E343" s="110" t="str">
        <f>VLOOKUP(D343,FECHAS!$A$3:$B$14,2,0)</f>
        <v>Agosto</v>
      </c>
      <c r="F343" s="319"/>
      <c r="G343" s="108">
        <f t="shared" si="77"/>
        <v>27</v>
      </c>
      <c r="H343" s="108">
        <f t="shared" si="75"/>
        <v>5</v>
      </c>
      <c r="I343" s="111">
        <f t="shared" si="87"/>
        <v>0</v>
      </c>
      <c r="J343" s="111">
        <v>5</v>
      </c>
      <c r="K343" s="111">
        <f t="shared" si="78"/>
        <v>0</v>
      </c>
      <c r="L343" s="111">
        <f t="shared" si="79"/>
        <v>0</v>
      </c>
      <c r="M343" s="143" t="str">
        <f t="shared" si="80"/>
        <v>LOTTT</v>
      </c>
      <c r="N343" s="108">
        <f t="shared" si="81"/>
        <v>0</v>
      </c>
      <c r="O343" s="321">
        <f t="shared" si="82"/>
        <v>0</v>
      </c>
      <c r="P343" s="322"/>
      <c r="Q343" s="321">
        <f t="shared" si="83"/>
        <v>0</v>
      </c>
      <c r="R343" s="173">
        <f>IF(ISNUMBER(VLOOKUP(E343,InteresPres!$B$2:$W$14,Prestaciones!C343-1997+2,0)),VLOOKUP(E343,InteresPres!$B$2:$W$14,Prestaciones!C343-1997+2,0),"0")/100</f>
        <v>0</v>
      </c>
      <c r="S343" s="323">
        <f t="shared" si="84"/>
        <v>0</v>
      </c>
      <c r="T343" s="323">
        <f t="shared" si="85"/>
        <v>0</v>
      </c>
      <c r="U343" s="5"/>
    </row>
    <row r="344" spans="2:21" x14ac:dyDescent="0.25">
      <c r="B344" s="4"/>
      <c r="C344" s="108">
        <f t="shared" si="76"/>
        <v>2038</v>
      </c>
      <c r="D344" s="109">
        <f t="shared" si="86"/>
        <v>9</v>
      </c>
      <c r="E344" s="110" t="str">
        <f>VLOOKUP(D344,FECHAS!$A$3:$B$14,2,0)</f>
        <v>Septiembre</v>
      </c>
      <c r="F344" s="319"/>
      <c r="G344" s="108">
        <f t="shared" si="77"/>
        <v>27</v>
      </c>
      <c r="H344" s="108">
        <f t="shared" si="75"/>
        <v>6</v>
      </c>
      <c r="I344" s="111">
        <f t="shared" si="87"/>
        <v>0</v>
      </c>
      <c r="J344" s="111">
        <v>5</v>
      </c>
      <c r="K344" s="111">
        <f t="shared" si="78"/>
        <v>0</v>
      </c>
      <c r="L344" s="111">
        <f t="shared" si="79"/>
        <v>0</v>
      </c>
      <c r="M344" s="143" t="str">
        <f t="shared" si="80"/>
        <v>LOTTT</v>
      </c>
      <c r="N344" s="108">
        <f t="shared" si="81"/>
        <v>0</v>
      </c>
      <c r="O344" s="321">
        <f t="shared" si="82"/>
        <v>0</v>
      </c>
      <c r="P344" s="322"/>
      <c r="Q344" s="321">
        <f t="shared" si="83"/>
        <v>0</v>
      </c>
      <c r="R344" s="173">
        <f>IF(ISNUMBER(VLOOKUP(E344,InteresPres!$B$2:$W$14,Prestaciones!C344-1997+2,0)),VLOOKUP(E344,InteresPres!$B$2:$W$14,Prestaciones!C344-1997+2,0),"0")/100</f>
        <v>0</v>
      </c>
      <c r="S344" s="323">
        <f t="shared" si="84"/>
        <v>0</v>
      </c>
      <c r="T344" s="323">
        <f t="shared" si="85"/>
        <v>0</v>
      </c>
      <c r="U344" s="5"/>
    </row>
    <row r="345" spans="2:21" x14ac:dyDescent="0.25">
      <c r="B345" s="4"/>
      <c r="C345" s="108">
        <f t="shared" si="76"/>
        <v>2038</v>
      </c>
      <c r="D345" s="109">
        <f t="shared" si="86"/>
        <v>10</v>
      </c>
      <c r="E345" s="110" t="str">
        <f>VLOOKUP(D345,FECHAS!$A$3:$B$14,2,0)</f>
        <v>Octubre</v>
      </c>
      <c r="F345" s="319"/>
      <c r="G345" s="108">
        <f t="shared" si="77"/>
        <v>27</v>
      </c>
      <c r="H345" s="108">
        <f t="shared" si="75"/>
        <v>7</v>
      </c>
      <c r="I345" s="111">
        <f t="shared" si="87"/>
        <v>0</v>
      </c>
      <c r="J345" s="111">
        <v>5</v>
      </c>
      <c r="K345" s="111">
        <f t="shared" si="78"/>
        <v>15</v>
      </c>
      <c r="L345" s="111">
        <f t="shared" si="79"/>
        <v>0</v>
      </c>
      <c r="M345" s="143" t="str">
        <f t="shared" si="80"/>
        <v>LOTTT</v>
      </c>
      <c r="N345" s="108">
        <f t="shared" si="81"/>
        <v>15</v>
      </c>
      <c r="O345" s="321">
        <f t="shared" si="82"/>
        <v>0</v>
      </c>
      <c r="P345" s="322"/>
      <c r="Q345" s="321">
        <f t="shared" si="83"/>
        <v>0</v>
      </c>
      <c r="R345" s="173">
        <f>IF(ISNUMBER(VLOOKUP(E345,InteresPres!$B$2:$W$14,Prestaciones!C345-1997+2,0)),VLOOKUP(E345,InteresPres!$B$2:$W$14,Prestaciones!C345-1997+2,0),"0")/100</f>
        <v>0</v>
      </c>
      <c r="S345" s="323">
        <f t="shared" si="84"/>
        <v>0</v>
      </c>
      <c r="T345" s="323">
        <f t="shared" si="85"/>
        <v>0</v>
      </c>
      <c r="U345" s="5"/>
    </row>
    <row r="346" spans="2:21" x14ac:dyDescent="0.25">
      <c r="B346" s="4"/>
      <c r="C346" s="108">
        <f t="shared" si="76"/>
        <v>2038</v>
      </c>
      <c r="D346" s="109">
        <f t="shared" si="86"/>
        <v>11</v>
      </c>
      <c r="E346" s="110" t="str">
        <f>VLOOKUP(D346,FECHAS!$A$3:$B$14,2,0)</f>
        <v>Noviembre</v>
      </c>
      <c r="F346" s="319"/>
      <c r="G346" s="108">
        <f t="shared" si="77"/>
        <v>27</v>
      </c>
      <c r="H346" s="108">
        <f t="shared" si="75"/>
        <v>8</v>
      </c>
      <c r="I346" s="111">
        <f t="shared" si="87"/>
        <v>0</v>
      </c>
      <c r="J346" s="111">
        <v>5</v>
      </c>
      <c r="K346" s="111">
        <f t="shared" si="78"/>
        <v>0</v>
      </c>
      <c r="L346" s="111">
        <f t="shared" si="79"/>
        <v>0</v>
      </c>
      <c r="M346" s="143" t="str">
        <f t="shared" si="80"/>
        <v>LOTTT</v>
      </c>
      <c r="N346" s="108">
        <f t="shared" si="81"/>
        <v>0</v>
      </c>
      <c r="O346" s="321">
        <f t="shared" si="82"/>
        <v>0</v>
      </c>
      <c r="P346" s="322"/>
      <c r="Q346" s="321">
        <f t="shared" si="83"/>
        <v>0</v>
      </c>
      <c r="R346" s="173">
        <f>IF(ISNUMBER(VLOOKUP(E346,InteresPres!$B$2:$W$14,Prestaciones!C346-1997+2,0)),VLOOKUP(E346,InteresPres!$B$2:$W$14,Prestaciones!C346-1997+2,0),"0")/100</f>
        <v>0</v>
      </c>
      <c r="S346" s="323">
        <f t="shared" si="84"/>
        <v>0</v>
      </c>
      <c r="T346" s="323">
        <f t="shared" si="85"/>
        <v>0</v>
      </c>
      <c r="U346" s="5"/>
    </row>
    <row r="347" spans="2:21" x14ac:dyDescent="0.25">
      <c r="B347" s="4"/>
      <c r="C347" s="108">
        <f t="shared" si="76"/>
        <v>2038</v>
      </c>
      <c r="D347" s="109">
        <f t="shared" si="86"/>
        <v>12</v>
      </c>
      <c r="E347" s="110" t="str">
        <f>VLOOKUP(D347,FECHAS!$A$3:$B$14,2,0)</f>
        <v>Diciembre</v>
      </c>
      <c r="F347" s="319"/>
      <c r="G347" s="108">
        <f t="shared" si="77"/>
        <v>27</v>
      </c>
      <c r="H347" s="108">
        <f t="shared" si="75"/>
        <v>9</v>
      </c>
      <c r="I347" s="111">
        <f t="shared" si="87"/>
        <v>0</v>
      </c>
      <c r="J347" s="111">
        <v>5</v>
      </c>
      <c r="K347" s="111">
        <f t="shared" si="78"/>
        <v>0</v>
      </c>
      <c r="L347" s="111">
        <f t="shared" si="79"/>
        <v>0</v>
      </c>
      <c r="M347" s="143" t="str">
        <f t="shared" si="80"/>
        <v>LOTTT</v>
      </c>
      <c r="N347" s="108">
        <f t="shared" si="81"/>
        <v>0</v>
      </c>
      <c r="O347" s="321">
        <f t="shared" si="82"/>
        <v>0</v>
      </c>
      <c r="P347" s="322"/>
      <c r="Q347" s="321">
        <f t="shared" si="83"/>
        <v>0</v>
      </c>
      <c r="R347" s="173">
        <f>IF(ISNUMBER(VLOOKUP(E347,InteresPres!$B$2:$W$14,Prestaciones!C347-1997+2,0)),VLOOKUP(E347,InteresPres!$B$2:$W$14,Prestaciones!C347-1997+2,0),"0")/100</f>
        <v>0</v>
      </c>
      <c r="S347" s="323">
        <f t="shared" si="84"/>
        <v>0</v>
      </c>
      <c r="T347" s="323">
        <f t="shared" si="85"/>
        <v>0</v>
      </c>
      <c r="U347" s="5"/>
    </row>
    <row r="348" spans="2:21" x14ac:dyDescent="0.25">
      <c r="B348" s="4"/>
      <c r="C348" s="108">
        <f t="shared" si="76"/>
        <v>2039</v>
      </c>
      <c r="D348" s="109">
        <f t="shared" si="86"/>
        <v>1</v>
      </c>
      <c r="E348" s="110" t="str">
        <f>VLOOKUP(D348,FECHAS!$A$3:$B$14,2,0)</f>
        <v>Enero</v>
      </c>
      <c r="F348" s="319"/>
      <c r="G348" s="108">
        <f t="shared" si="77"/>
        <v>27</v>
      </c>
      <c r="H348" s="108">
        <f t="shared" si="75"/>
        <v>10</v>
      </c>
      <c r="I348" s="111">
        <f t="shared" si="87"/>
        <v>0</v>
      </c>
      <c r="J348" s="111">
        <v>5</v>
      </c>
      <c r="K348" s="111">
        <f t="shared" si="78"/>
        <v>15</v>
      </c>
      <c r="L348" s="111">
        <f t="shared" si="79"/>
        <v>0</v>
      </c>
      <c r="M348" s="143" t="str">
        <f t="shared" si="80"/>
        <v>LOTTT</v>
      </c>
      <c r="N348" s="108">
        <f t="shared" si="81"/>
        <v>15</v>
      </c>
      <c r="O348" s="321">
        <f t="shared" si="82"/>
        <v>0</v>
      </c>
      <c r="P348" s="322"/>
      <c r="Q348" s="321">
        <f t="shared" si="83"/>
        <v>0</v>
      </c>
      <c r="R348" s="173">
        <f>IF(ISNUMBER(VLOOKUP(E348,InteresPres!$B$2:$W$14,Prestaciones!C348-1997+2,0)),VLOOKUP(E348,InteresPres!$B$2:$W$14,Prestaciones!C348-1997+2,0),"0")/100</f>
        <v>0</v>
      </c>
      <c r="S348" s="323">
        <f t="shared" si="84"/>
        <v>0</v>
      </c>
      <c r="T348" s="323">
        <f t="shared" si="85"/>
        <v>0</v>
      </c>
      <c r="U348" s="5"/>
    </row>
    <row r="349" spans="2:21" x14ac:dyDescent="0.25">
      <c r="B349" s="4"/>
      <c r="C349" s="108">
        <f t="shared" si="76"/>
        <v>2039</v>
      </c>
      <c r="D349" s="109">
        <f t="shared" si="86"/>
        <v>2</v>
      </c>
      <c r="E349" s="110" t="str">
        <f>VLOOKUP(D349,FECHAS!$A$3:$B$14,2,0)</f>
        <v>Febrero</v>
      </c>
      <c r="F349" s="319"/>
      <c r="G349" s="108">
        <f t="shared" si="77"/>
        <v>27</v>
      </c>
      <c r="H349" s="108">
        <f t="shared" si="75"/>
        <v>11</v>
      </c>
      <c r="I349" s="111">
        <f t="shared" si="87"/>
        <v>0</v>
      </c>
      <c r="J349" s="111">
        <v>5</v>
      </c>
      <c r="K349" s="111">
        <f t="shared" si="78"/>
        <v>0</v>
      </c>
      <c r="L349" s="111">
        <f t="shared" si="79"/>
        <v>0</v>
      </c>
      <c r="M349" s="143" t="str">
        <f t="shared" si="80"/>
        <v>LOTTT</v>
      </c>
      <c r="N349" s="108">
        <f t="shared" si="81"/>
        <v>0</v>
      </c>
      <c r="O349" s="321">
        <f t="shared" si="82"/>
        <v>0</v>
      </c>
      <c r="P349" s="322"/>
      <c r="Q349" s="321">
        <f t="shared" si="83"/>
        <v>0</v>
      </c>
      <c r="R349" s="173">
        <f>IF(ISNUMBER(VLOOKUP(E349,InteresPres!$B$2:$W$14,Prestaciones!C349-1997+2,0)),VLOOKUP(E349,InteresPres!$B$2:$W$14,Prestaciones!C349-1997+2,0),"0")/100</f>
        <v>0</v>
      </c>
      <c r="S349" s="323">
        <f t="shared" si="84"/>
        <v>0</v>
      </c>
      <c r="T349" s="323">
        <f t="shared" si="85"/>
        <v>0</v>
      </c>
      <c r="U349" s="5"/>
    </row>
    <row r="350" spans="2:21" x14ac:dyDescent="0.25">
      <c r="B350" s="4"/>
      <c r="C350" s="108">
        <f t="shared" si="76"/>
        <v>2039</v>
      </c>
      <c r="D350" s="109">
        <f t="shared" si="86"/>
        <v>3</v>
      </c>
      <c r="E350" s="110" t="str">
        <f>VLOOKUP(D350,FECHAS!$A$3:$B$14,2,0)</f>
        <v>Marzo</v>
      </c>
      <c r="F350" s="319"/>
      <c r="G350" s="108">
        <f t="shared" si="77"/>
        <v>28</v>
      </c>
      <c r="H350" s="108">
        <f t="shared" si="75"/>
        <v>0</v>
      </c>
      <c r="I350" s="111">
        <f t="shared" si="87"/>
        <v>30</v>
      </c>
      <c r="J350" s="111">
        <v>5</v>
      </c>
      <c r="K350" s="111">
        <f t="shared" si="78"/>
        <v>0</v>
      </c>
      <c r="L350" s="111">
        <f t="shared" si="79"/>
        <v>0</v>
      </c>
      <c r="M350" s="143" t="str">
        <f t="shared" si="80"/>
        <v>LOTTT</v>
      </c>
      <c r="N350" s="108">
        <f t="shared" si="81"/>
        <v>30</v>
      </c>
      <c r="O350" s="321">
        <f t="shared" si="82"/>
        <v>0</v>
      </c>
      <c r="P350" s="322"/>
      <c r="Q350" s="321">
        <f t="shared" si="83"/>
        <v>0</v>
      </c>
      <c r="R350" s="173">
        <f>IF(ISNUMBER(VLOOKUP(E350,InteresPres!$B$2:$W$14,Prestaciones!C350-1997+2,0)),VLOOKUP(E350,InteresPres!$B$2:$W$14,Prestaciones!C350-1997+2,0),"0")/100</f>
        <v>0</v>
      </c>
      <c r="S350" s="323">
        <f t="shared" si="84"/>
        <v>0</v>
      </c>
      <c r="T350" s="323">
        <f t="shared" si="85"/>
        <v>0</v>
      </c>
      <c r="U350" s="5"/>
    </row>
    <row r="351" spans="2:21" x14ac:dyDescent="0.25">
      <c r="B351" s="4"/>
      <c r="C351" s="108">
        <f t="shared" si="76"/>
        <v>2039</v>
      </c>
      <c r="D351" s="109">
        <f t="shared" si="86"/>
        <v>4</v>
      </c>
      <c r="E351" s="110" t="str">
        <f>VLOOKUP(D351,FECHAS!$A$3:$B$14,2,0)</f>
        <v>Abril</v>
      </c>
      <c r="F351" s="319"/>
      <c r="G351" s="108">
        <f t="shared" si="77"/>
        <v>28</v>
      </c>
      <c r="H351" s="108">
        <f t="shared" si="75"/>
        <v>1</v>
      </c>
      <c r="I351" s="111">
        <f t="shared" si="87"/>
        <v>0</v>
      </c>
      <c r="J351" s="111">
        <v>5</v>
      </c>
      <c r="K351" s="111">
        <f t="shared" si="78"/>
        <v>15</v>
      </c>
      <c r="L351" s="111">
        <f t="shared" si="79"/>
        <v>0</v>
      </c>
      <c r="M351" s="143" t="str">
        <f t="shared" si="80"/>
        <v>LOTTT</v>
      </c>
      <c r="N351" s="108">
        <f t="shared" si="81"/>
        <v>15</v>
      </c>
      <c r="O351" s="321">
        <f t="shared" si="82"/>
        <v>0</v>
      </c>
      <c r="P351" s="322"/>
      <c r="Q351" s="321">
        <f t="shared" si="83"/>
        <v>0</v>
      </c>
      <c r="R351" s="173">
        <f>IF(ISNUMBER(VLOOKUP(E351,InteresPres!$B$2:$W$14,Prestaciones!C351-1997+2,0)),VLOOKUP(E351,InteresPres!$B$2:$W$14,Prestaciones!C351-1997+2,0),"0")/100</f>
        <v>0</v>
      </c>
      <c r="S351" s="323">
        <f t="shared" si="84"/>
        <v>0</v>
      </c>
      <c r="T351" s="323">
        <f t="shared" si="85"/>
        <v>0</v>
      </c>
      <c r="U351" s="5"/>
    </row>
    <row r="352" spans="2:21" x14ac:dyDescent="0.25">
      <c r="B352" s="4"/>
      <c r="C352" s="108">
        <f t="shared" si="76"/>
        <v>2039</v>
      </c>
      <c r="D352" s="109">
        <f t="shared" si="86"/>
        <v>5</v>
      </c>
      <c r="E352" s="110" t="str">
        <f>VLOOKUP(D352,FECHAS!$A$3:$B$14,2,0)</f>
        <v>Mayo</v>
      </c>
      <c r="F352" s="319"/>
      <c r="G352" s="108">
        <f t="shared" si="77"/>
        <v>28</v>
      </c>
      <c r="H352" s="108">
        <f t="shared" si="75"/>
        <v>2</v>
      </c>
      <c r="I352" s="111">
        <f t="shared" si="87"/>
        <v>0</v>
      </c>
      <c r="J352" s="111">
        <v>5</v>
      </c>
      <c r="K352" s="111">
        <f t="shared" si="78"/>
        <v>0</v>
      </c>
      <c r="L352" s="111">
        <f t="shared" si="79"/>
        <v>0</v>
      </c>
      <c r="M352" s="143" t="str">
        <f t="shared" si="80"/>
        <v>LOTTT</v>
      </c>
      <c r="N352" s="108">
        <f t="shared" si="81"/>
        <v>0</v>
      </c>
      <c r="O352" s="321">
        <f t="shared" si="82"/>
        <v>0</v>
      </c>
      <c r="P352" s="322"/>
      <c r="Q352" s="321">
        <f t="shared" si="83"/>
        <v>0</v>
      </c>
      <c r="R352" s="173">
        <f>IF(ISNUMBER(VLOOKUP(E352,InteresPres!$B$2:$W$14,Prestaciones!C352-1997+2,0)),VLOOKUP(E352,InteresPres!$B$2:$W$14,Prestaciones!C352-1997+2,0),"0")/100</f>
        <v>0</v>
      </c>
      <c r="S352" s="323">
        <f t="shared" si="84"/>
        <v>0</v>
      </c>
      <c r="T352" s="323">
        <f t="shared" si="85"/>
        <v>0</v>
      </c>
      <c r="U352" s="5"/>
    </row>
    <row r="353" spans="2:21" x14ac:dyDescent="0.25">
      <c r="B353" s="4"/>
      <c r="C353" s="108">
        <f t="shared" si="76"/>
        <v>2039</v>
      </c>
      <c r="D353" s="109">
        <f t="shared" si="86"/>
        <v>6</v>
      </c>
      <c r="E353" s="110" t="str">
        <f>VLOOKUP(D353,FECHAS!$A$3:$B$14,2,0)</f>
        <v>Junio</v>
      </c>
      <c r="F353" s="319"/>
      <c r="G353" s="108">
        <f t="shared" si="77"/>
        <v>28</v>
      </c>
      <c r="H353" s="108">
        <f t="shared" si="75"/>
        <v>3</v>
      </c>
      <c r="I353" s="111">
        <f t="shared" si="87"/>
        <v>0</v>
      </c>
      <c r="J353" s="111">
        <v>5</v>
      </c>
      <c r="K353" s="111">
        <f t="shared" si="78"/>
        <v>0</v>
      </c>
      <c r="L353" s="111">
        <f t="shared" si="79"/>
        <v>0</v>
      </c>
      <c r="M353" s="143" t="str">
        <f t="shared" si="80"/>
        <v>LOTTT</v>
      </c>
      <c r="N353" s="108">
        <f t="shared" si="81"/>
        <v>0</v>
      </c>
      <c r="O353" s="321">
        <f t="shared" si="82"/>
        <v>0</v>
      </c>
      <c r="P353" s="322"/>
      <c r="Q353" s="321">
        <f t="shared" si="83"/>
        <v>0</v>
      </c>
      <c r="R353" s="173">
        <f>IF(ISNUMBER(VLOOKUP(E353,InteresPres!$B$2:$W$14,Prestaciones!C353-1997+2,0)),VLOOKUP(E353,InteresPres!$B$2:$W$14,Prestaciones!C353-1997+2,0),"0")/100</f>
        <v>0</v>
      </c>
      <c r="S353" s="323">
        <f t="shared" si="84"/>
        <v>0</v>
      </c>
      <c r="T353" s="323">
        <f t="shared" si="85"/>
        <v>0</v>
      </c>
      <c r="U353" s="5"/>
    </row>
    <row r="354" spans="2:21" x14ac:dyDescent="0.25">
      <c r="B354" s="4"/>
      <c r="C354" s="108">
        <f t="shared" si="76"/>
        <v>2039</v>
      </c>
      <c r="D354" s="109">
        <f t="shared" si="86"/>
        <v>7</v>
      </c>
      <c r="E354" s="110" t="str">
        <f>VLOOKUP(D354,FECHAS!$A$3:$B$14,2,0)</f>
        <v>Julio</v>
      </c>
      <c r="F354" s="319"/>
      <c r="G354" s="108">
        <f t="shared" si="77"/>
        <v>28</v>
      </c>
      <c r="H354" s="108">
        <f t="shared" si="75"/>
        <v>4</v>
      </c>
      <c r="I354" s="111">
        <f t="shared" si="87"/>
        <v>0</v>
      </c>
      <c r="J354" s="111">
        <v>5</v>
      </c>
      <c r="K354" s="111">
        <f t="shared" si="78"/>
        <v>15</v>
      </c>
      <c r="L354" s="111">
        <f t="shared" si="79"/>
        <v>0</v>
      </c>
      <c r="M354" s="143" t="str">
        <f t="shared" si="80"/>
        <v>LOTTT</v>
      </c>
      <c r="N354" s="108">
        <f t="shared" si="81"/>
        <v>15</v>
      </c>
      <c r="O354" s="321">
        <f t="shared" si="82"/>
        <v>0</v>
      </c>
      <c r="P354" s="322"/>
      <c r="Q354" s="321">
        <f t="shared" si="83"/>
        <v>0</v>
      </c>
      <c r="R354" s="173">
        <f>IF(ISNUMBER(VLOOKUP(E354,InteresPres!$B$2:$W$14,Prestaciones!C354-1997+2,0)),VLOOKUP(E354,InteresPres!$B$2:$W$14,Prestaciones!C354-1997+2,0),"0")/100</f>
        <v>0</v>
      </c>
      <c r="S354" s="323">
        <f t="shared" si="84"/>
        <v>0</v>
      </c>
      <c r="T354" s="323">
        <f t="shared" si="85"/>
        <v>0</v>
      </c>
      <c r="U354" s="5"/>
    </row>
    <row r="355" spans="2:21" x14ac:dyDescent="0.25">
      <c r="B355" s="4"/>
      <c r="C355" s="108">
        <f t="shared" si="76"/>
        <v>2039</v>
      </c>
      <c r="D355" s="109">
        <f t="shared" si="86"/>
        <v>8</v>
      </c>
      <c r="E355" s="110" t="str">
        <f>VLOOKUP(D355,FECHAS!$A$3:$B$14,2,0)</f>
        <v>Agosto</v>
      </c>
      <c r="F355" s="319"/>
      <c r="G355" s="108">
        <f t="shared" si="77"/>
        <v>28</v>
      </c>
      <c r="H355" s="108">
        <f t="shared" si="75"/>
        <v>5</v>
      </c>
      <c r="I355" s="111">
        <f t="shared" si="87"/>
        <v>0</v>
      </c>
      <c r="J355" s="111">
        <v>5</v>
      </c>
      <c r="K355" s="111">
        <f t="shared" si="78"/>
        <v>0</v>
      </c>
      <c r="L355" s="111">
        <f t="shared" si="79"/>
        <v>0</v>
      </c>
      <c r="M355" s="143" t="str">
        <f t="shared" si="80"/>
        <v>LOTTT</v>
      </c>
      <c r="N355" s="108">
        <f t="shared" si="81"/>
        <v>0</v>
      </c>
      <c r="O355" s="321">
        <f t="shared" si="82"/>
        <v>0</v>
      </c>
      <c r="P355" s="322"/>
      <c r="Q355" s="321">
        <f t="shared" si="83"/>
        <v>0</v>
      </c>
      <c r="R355" s="173">
        <f>IF(ISNUMBER(VLOOKUP(E355,InteresPres!$B$2:$W$14,Prestaciones!C355-1997+2,0)),VLOOKUP(E355,InteresPres!$B$2:$W$14,Prestaciones!C355-1997+2,0),"0")/100</f>
        <v>0</v>
      </c>
      <c r="S355" s="323">
        <f t="shared" si="84"/>
        <v>0</v>
      </c>
      <c r="T355" s="323">
        <f t="shared" si="85"/>
        <v>0</v>
      </c>
      <c r="U355" s="5"/>
    </row>
    <row r="356" spans="2:21" x14ac:dyDescent="0.25">
      <c r="B356" s="4"/>
      <c r="C356" s="108">
        <f t="shared" si="76"/>
        <v>2039</v>
      </c>
      <c r="D356" s="109">
        <f t="shared" si="86"/>
        <v>9</v>
      </c>
      <c r="E356" s="110" t="str">
        <f>VLOOKUP(D356,FECHAS!$A$3:$B$14,2,0)</f>
        <v>Septiembre</v>
      </c>
      <c r="F356" s="319"/>
      <c r="G356" s="108">
        <f t="shared" si="77"/>
        <v>28</v>
      </c>
      <c r="H356" s="108">
        <f t="shared" si="75"/>
        <v>6</v>
      </c>
      <c r="I356" s="111">
        <f t="shared" si="87"/>
        <v>0</v>
      </c>
      <c r="J356" s="111">
        <v>5</v>
      </c>
      <c r="K356" s="111">
        <f t="shared" si="78"/>
        <v>0</v>
      </c>
      <c r="L356" s="111">
        <f t="shared" si="79"/>
        <v>0</v>
      </c>
      <c r="M356" s="143" t="str">
        <f t="shared" si="80"/>
        <v>LOTTT</v>
      </c>
      <c r="N356" s="108">
        <f t="shared" si="81"/>
        <v>0</v>
      </c>
      <c r="O356" s="321">
        <f t="shared" si="82"/>
        <v>0</v>
      </c>
      <c r="P356" s="322"/>
      <c r="Q356" s="321">
        <f t="shared" si="83"/>
        <v>0</v>
      </c>
      <c r="R356" s="173">
        <f>IF(ISNUMBER(VLOOKUP(E356,InteresPres!$B$2:$W$14,Prestaciones!C356-1997+2,0)),VLOOKUP(E356,InteresPres!$B$2:$W$14,Prestaciones!C356-1997+2,0),"0")/100</f>
        <v>0</v>
      </c>
      <c r="S356" s="323">
        <f t="shared" si="84"/>
        <v>0</v>
      </c>
      <c r="T356" s="323">
        <f t="shared" si="85"/>
        <v>0</v>
      </c>
      <c r="U356" s="5"/>
    </row>
    <row r="357" spans="2:21" x14ac:dyDescent="0.25">
      <c r="B357" s="4"/>
      <c r="C357" s="108">
        <f t="shared" si="76"/>
        <v>2039</v>
      </c>
      <c r="D357" s="109">
        <f t="shared" si="86"/>
        <v>10</v>
      </c>
      <c r="E357" s="110" t="str">
        <f>VLOOKUP(D357,FECHAS!$A$3:$B$14,2,0)</f>
        <v>Octubre</v>
      </c>
      <c r="F357" s="319"/>
      <c r="G357" s="108">
        <f t="shared" si="77"/>
        <v>28</v>
      </c>
      <c r="H357" s="108">
        <f t="shared" si="75"/>
        <v>7</v>
      </c>
      <c r="I357" s="111">
        <f t="shared" si="87"/>
        <v>0</v>
      </c>
      <c r="J357" s="111">
        <v>5</v>
      </c>
      <c r="K357" s="111">
        <f t="shared" si="78"/>
        <v>15</v>
      </c>
      <c r="L357" s="111">
        <f t="shared" si="79"/>
        <v>0</v>
      </c>
      <c r="M357" s="143" t="str">
        <f t="shared" si="80"/>
        <v>LOTTT</v>
      </c>
      <c r="N357" s="108">
        <f t="shared" si="81"/>
        <v>15</v>
      </c>
      <c r="O357" s="321">
        <f t="shared" si="82"/>
        <v>0</v>
      </c>
      <c r="P357" s="322"/>
      <c r="Q357" s="321">
        <f t="shared" si="83"/>
        <v>0</v>
      </c>
      <c r="R357" s="173">
        <f>IF(ISNUMBER(VLOOKUP(E357,InteresPres!$B$2:$W$14,Prestaciones!C357-1997+2,0)),VLOOKUP(E357,InteresPres!$B$2:$W$14,Prestaciones!C357-1997+2,0),"0")/100</f>
        <v>0</v>
      </c>
      <c r="S357" s="323">
        <f t="shared" si="84"/>
        <v>0</v>
      </c>
      <c r="T357" s="323">
        <f t="shared" si="85"/>
        <v>0</v>
      </c>
      <c r="U357" s="5"/>
    </row>
    <row r="358" spans="2:21" x14ac:dyDescent="0.25">
      <c r="B358" s="4"/>
      <c r="C358" s="108">
        <f t="shared" si="76"/>
        <v>2039</v>
      </c>
      <c r="D358" s="109">
        <f t="shared" si="86"/>
        <v>11</v>
      </c>
      <c r="E358" s="110" t="str">
        <f>VLOOKUP(D358,FECHAS!$A$3:$B$14,2,0)</f>
        <v>Noviembre</v>
      </c>
      <c r="F358" s="319"/>
      <c r="G358" s="108">
        <f t="shared" si="77"/>
        <v>28</v>
      </c>
      <c r="H358" s="108">
        <f t="shared" si="75"/>
        <v>8</v>
      </c>
      <c r="I358" s="111">
        <f t="shared" si="87"/>
        <v>0</v>
      </c>
      <c r="J358" s="111">
        <v>5</v>
      </c>
      <c r="K358" s="111">
        <f t="shared" si="78"/>
        <v>0</v>
      </c>
      <c r="L358" s="111">
        <f t="shared" si="79"/>
        <v>0</v>
      </c>
      <c r="M358" s="143" t="str">
        <f t="shared" si="80"/>
        <v>LOTTT</v>
      </c>
      <c r="N358" s="108">
        <f t="shared" si="81"/>
        <v>0</v>
      </c>
      <c r="O358" s="321">
        <f t="shared" si="82"/>
        <v>0</v>
      </c>
      <c r="P358" s="322"/>
      <c r="Q358" s="321">
        <f t="shared" si="83"/>
        <v>0</v>
      </c>
      <c r="R358" s="173">
        <f>IF(ISNUMBER(VLOOKUP(E358,InteresPres!$B$2:$W$14,Prestaciones!C358-1997+2,0)),VLOOKUP(E358,InteresPres!$B$2:$W$14,Prestaciones!C358-1997+2,0),"0")/100</f>
        <v>0</v>
      </c>
      <c r="S358" s="323">
        <f t="shared" si="84"/>
        <v>0</v>
      </c>
      <c r="T358" s="323">
        <f t="shared" si="85"/>
        <v>0</v>
      </c>
      <c r="U358" s="5"/>
    </row>
    <row r="359" spans="2:21" x14ac:dyDescent="0.25">
      <c r="B359" s="4"/>
      <c r="C359" s="108">
        <f t="shared" si="76"/>
        <v>2039</v>
      </c>
      <c r="D359" s="109">
        <f t="shared" si="86"/>
        <v>12</v>
      </c>
      <c r="E359" s="110" t="str">
        <f>VLOOKUP(D359,FECHAS!$A$3:$B$14,2,0)</f>
        <v>Diciembre</v>
      </c>
      <c r="F359" s="319"/>
      <c r="G359" s="108">
        <f t="shared" si="77"/>
        <v>28</v>
      </c>
      <c r="H359" s="108">
        <f t="shared" si="75"/>
        <v>9</v>
      </c>
      <c r="I359" s="111">
        <f t="shared" si="87"/>
        <v>0</v>
      </c>
      <c r="J359" s="111">
        <v>5</v>
      </c>
      <c r="K359" s="111">
        <f t="shared" si="78"/>
        <v>0</v>
      </c>
      <c r="L359" s="111">
        <f t="shared" si="79"/>
        <v>0</v>
      </c>
      <c r="M359" s="143" t="str">
        <f t="shared" si="80"/>
        <v>LOTTT</v>
      </c>
      <c r="N359" s="108">
        <f t="shared" si="81"/>
        <v>0</v>
      </c>
      <c r="O359" s="321">
        <f t="shared" si="82"/>
        <v>0</v>
      </c>
      <c r="P359" s="322"/>
      <c r="Q359" s="321">
        <f t="shared" si="83"/>
        <v>0</v>
      </c>
      <c r="R359" s="173">
        <f>IF(ISNUMBER(VLOOKUP(E359,InteresPres!$B$2:$W$14,Prestaciones!C359-1997+2,0)),VLOOKUP(E359,InteresPres!$B$2:$W$14,Prestaciones!C359-1997+2,0),"0")/100</f>
        <v>0</v>
      </c>
      <c r="S359" s="323">
        <f t="shared" si="84"/>
        <v>0</v>
      </c>
      <c r="T359" s="323">
        <f t="shared" si="85"/>
        <v>0</v>
      </c>
      <c r="U359" s="5"/>
    </row>
    <row r="360" spans="2:21" x14ac:dyDescent="0.25">
      <c r="B360" s="4"/>
      <c r="C360" s="108">
        <f t="shared" si="76"/>
        <v>2040</v>
      </c>
      <c r="D360" s="109">
        <f t="shared" si="86"/>
        <v>1</v>
      </c>
      <c r="E360" s="110" t="str">
        <f>VLOOKUP(D360,FECHAS!$A$3:$B$14,2,0)</f>
        <v>Enero</v>
      </c>
      <c r="F360" s="319"/>
      <c r="G360" s="108">
        <f t="shared" si="77"/>
        <v>28</v>
      </c>
      <c r="H360" s="108">
        <f t="shared" si="75"/>
        <v>10</v>
      </c>
      <c r="I360" s="111">
        <f t="shared" si="87"/>
        <v>0</v>
      </c>
      <c r="J360" s="111">
        <v>5</v>
      </c>
      <c r="K360" s="111">
        <f t="shared" si="78"/>
        <v>15</v>
      </c>
      <c r="L360" s="111">
        <f t="shared" si="79"/>
        <v>0</v>
      </c>
      <c r="M360" s="143" t="str">
        <f t="shared" si="80"/>
        <v>LOTTT</v>
      </c>
      <c r="N360" s="108">
        <f t="shared" si="81"/>
        <v>15</v>
      </c>
      <c r="O360" s="321">
        <f t="shared" si="82"/>
        <v>0</v>
      </c>
      <c r="P360" s="322"/>
      <c r="Q360" s="321">
        <f t="shared" si="83"/>
        <v>0</v>
      </c>
      <c r="R360" s="173">
        <f>IF(ISNUMBER(VLOOKUP(E360,InteresPres!$B$2:$W$14,Prestaciones!C360-1997+2,0)),VLOOKUP(E360,InteresPres!$B$2:$W$14,Prestaciones!C360-1997+2,0),"0")/100</f>
        <v>0</v>
      </c>
      <c r="S360" s="323">
        <f t="shared" si="84"/>
        <v>0</v>
      </c>
      <c r="T360" s="323">
        <f t="shared" si="85"/>
        <v>0</v>
      </c>
      <c r="U360" s="5"/>
    </row>
    <row r="361" spans="2:21" x14ac:dyDescent="0.25">
      <c r="B361" s="4"/>
      <c r="C361" s="108">
        <f t="shared" si="76"/>
        <v>2040</v>
      </c>
      <c r="D361" s="109">
        <f t="shared" si="86"/>
        <v>2</v>
      </c>
      <c r="E361" s="110" t="str">
        <f>VLOOKUP(D361,FECHAS!$A$3:$B$14,2,0)</f>
        <v>Febrero</v>
      </c>
      <c r="F361" s="319"/>
      <c r="G361" s="108">
        <f t="shared" si="77"/>
        <v>28</v>
      </c>
      <c r="H361" s="108">
        <f t="shared" si="75"/>
        <v>11</v>
      </c>
      <c r="I361" s="111">
        <f t="shared" si="87"/>
        <v>0</v>
      </c>
      <c r="J361" s="111">
        <v>5</v>
      </c>
      <c r="K361" s="111">
        <f t="shared" si="78"/>
        <v>0</v>
      </c>
      <c r="L361" s="111">
        <f t="shared" si="79"/>
        <v>0</v>
      </c>
      <c r="M361" s="143" t="str">
        <f t="shared" si="80"/>
        <v>LOTTT</v>
      </c>
      <c r="N361" s="108">
        <f t="shared" si="81"/>
        <v>0</v>
      </c>
      <c r="O361" s="321">
        <f t="shared" si="82"/>
        <v>0</v>
      </c>
      <c r="P361" s="322"/>
      <c r="Q361" s="321">
        <f t="shared" si="83"/>
        <v>0</v>
      </c>
      <c r="R361" s="173">
        <f>IF(ISNUMBER(VLOOKUP(E361,InteresPres!$B$2:$W$14,Prestaciones!C361-1997+2,0)),VLOOKUP(E361,InteresPres!$B$2:$W$14,Prestaciones!C361-1997+2,0),"0")/100</f>
        <v>0</v>
      </c>
      <c r="S361" s="323">
        <f t="shared" si="84"/>
        <v>0</v>
      </c>
      <c r="T361" s="323">
        <f t="shared" si="85"/>
        <v>0</v>
      </c>
      <c r="U361" s="5"/>
    </row>
    <row r="362" spans="2:21" x14ac:dyDescent="0.25">
      <c r="B362" s="4"/>
      <c r="C362" s="108">
        <f t="shared" si="76"/>
        <v>2040</v>
      </c>
      <c r="D362" s="109">
        <f t="shared" si="86"/>
        <v>3</v>
      </c>
      <c r="E362" s="110" t="str">
        <f>VLOOKUP(D362,FECHAS!$A$3:$B$14,2,0)</f>
        <v>Marzo</v>
      </c>
      <c r="F362" s="319"/>
      <c r="G362" s="108">
        <f t="shared" si="77"/>
        <v>29</v>
      </c>
      <c r="H362" s="108">
        <f t="shared" si="75"/>
        <v>0</v>
      </c>
      <c r="I362" s="111">
        <f t="shared" si="87"/>
        <v>30</v>
      </c>
      <c r="J362" s="111">
        <v>5</v>
      </c>
      <c r="K362" s="111">
        <f t="shared" si="78"/>
        <v>0</v>
      </c>
      <c r="L362" s="111">
        <f t="shared" si="79"/>
        <v>0</v>
      </c>
      <c r="M362" s="143" t="str">
        <f t="shared" si="80"/>
        <v>LOTTT</v>
      </c>
      <c r="N362" s="108">
        <f t="shared" si="81"/>
        <v>30</v>
      </c>
      <c r="O362" s="321">
        <f t="shared" si="82"/>
        <v>0</v>
      </c>
      <c r="P362" s="322"/>
      <c r="Q362" s="321">
        <f t="shared" si="83"/>
        <v>0</v>
      </c>
      <c r="R362" s="173">
        <f>IF(ISNUMBER(VLOOKUP(E362,InteresPres!$B$2:$W$14,Prestaciones!C362-1997+2,0)),VLOOKUP(E362,InteresPres!$B$2:$W$14,Prestaciones!C362-1997+2,0),"0")/100</f>
        <v>0</v>
      </c>
      <c r="S362" s="323">
        <f t="shared" si="84"/>
        <v>0</v>
      </c>
      <c r="T362" s="323">
        <f t="shared" si="85"/>
        <v>0</v>
      </c>
      <c r="U362" s="5"/>
    </row>
    <row r="363" spans="2:21" x14ac:dyDescent="0.25">
      <c r="B363" s="4"/>
      <c r="C363" s="108">
        <f t="shared" si="76"/>
        <v>2040</v>
      </c>
      <c r="D363" s="109">
        <f t="shared" si="86"/>
        <v>4</v>
      </c>
      <c r="E363" s="110" t="str">
        <f>VLOOKUP(D363,FECHAS!$A$3:$B$14,2,0)</f>
        <v>Abril</v>
      </c>
      <c r="F363" s="319"/>
      <c r="G363" s="108">
        <f t="shared" si="77"/>
        <v>29</v>
      </c>
      <c r="H363" s="108">
        <f t="shared" si="75"/>
        <v>1</v>
      </c>
      <c r="I363" s="111">
        <f t="shared" si="87"/>
        <v>0</v>
      </c>
      <c r="J363" s="111">
        <v>5</v>
      </c>
      <c r="K363" s="111">
        <f t="shared" si="78"/>
        <v>15</v>
      </c>
      <c r="L363" s="111">
        <f t="shared" si="79"/>
        <v>0</v>
      </c>
      <c r="M363" s="143" t="str">
        <f t="shared" si="80"/>
        <v>LOTTT</v>
      </c>
      <c r="N363" s="108">
        <f t="shared" si="81"/>
        <v>15</v>
      </c>
      <c r="O363" s="321">
        <f t="shared" si="82"/>
        <v>0</v>
      </c>
      <c r="P363" s="322"/>
      <c r="Q363" s="321">
        <f t="shared" si="83"/>
        <v>0</v>
      </c>
      <c r="R363" s="173">
        <f>IF(ISNUMBER(VLOOKUP(E363,InteresPres!$B$2:$W$14,Prestaciones!C363-1997+2,0)),VLOOKUP(E363,InteresPres!$B$2:$W$14,Prestaciones!C363-1997+2,0),"0")/100</f>
        <v>0</v>
      </c>
      <c r="S363" s="323">
        <f t="shared" si="84"/>
        <v>0</v>
      </c>
      <c r="T363" s="323">
        <f t="shared" si="85"/>
        <v>0</v>
      </c>
      <c r="U363" s="5"/>
    </row>
    <row r="364" spans="2:21" x14ac:dyDescent="0.25">
      <c r="B364" s="4"/>
      <c r="C364" s="108">
        <f t="shared" si="76"/>
        <v>2040</v>
      </c>
      <c r="D364" s="109">
        <f t="shared" si="86"/>
        <v>5</v>
      </c>
      <c r="E364" s="110" t="str">
        <f>VLOOKUP(D364,FECHAS!$A$3:$B$14,2,0)</f>
        <v>Mayo</v>
      </c>
      <c r="F364" s="319"/>
      <c r="G364" s="108">
        <f t="shared" si="77"/>
        <v>29</v>
      </c>
      <c r="H364" s="108">
        <f t="shared" si="75"/>
        <v>2</v>
      </c>
      <c r="I364" s="111">
        <f t="shared" si="87"/>
        <v>0</v>
      </c>
      <c r="J364" s="111">
        <v>5</v>
      </c>
      <c r="K364" s="111">
        <f t="shared" si="78"/>
        <v>0</v>
      </c>
      <c r="L364" s="111">
        <f t="shared" si="79"/>
        <v>0</v>
      </c>
      <c r="M364" s="143" t="str">
        <f t="shared" si="80"/>
        <v>LOTTT</v>
      </c>
      <c r="N364" s="108">
        <f t="shared" si="81"/>
        <v>0</v>
      </c>
      <c r="O364" s="321">
        <f t="shared" si="82"/>
        <v>0</v>
      </c>
      <c r="P364" s="322"/>
      <c r="Q364" s="321">
        <f t="shared" si="83"/>
        <v>0</v>
      </c>
      <c r="R364" s="173">
        <f>IF(ISNUMBER(VLOOKUP(E364,InteresPres!$B$2:$W$14,Prestaciones!C364-1997+2,0)),VLOOKUP(E364,InteresPres!$B$2:$W$14,Prestaciones!C364-1997+2,0),"0")/100</f>
        <v>0</v>
      </c>
      <c r="S364" s="323">
        <f t="shared" si="84"/>
        <v>0</v>
      </c>
      <c r="T364" s="323">
        <f t="shared" si="85"/>
        <v>0</v>
      </c>
      <c r="U364" s="5"/>
    </row>
    <row r="365" spans="2:21" x14ac:dyDescent="0.25">
      <c r="B365" s="4"/>
      <c r="C365" s="108">
        <f t="shared" si="76"/>
        <v>2040</v>
      </c>
      <c r="D365" s="109">
        <f t="shared" si="86"/>
        <v>6</v>
      </c>
      <c r="E365" s="110" t="str">
        <f>VLOOKUP(D365,FECHAS!$A$3:$B$14,2,0)</f>
        <v>Junio</v>
      </c>
      <c r="F365" s="319"/>
      <c r="G365" s="108">
        <f t="shared" si="77"/>
        <v>29</v>
      </c>
      <c r="H365" s="108">
        <f t="shared" si="75"/>
        <v>3</v>
      </c>
      <c r="I365" s="111">
        <f t="shared" si="87"/>
        <v>0</v>
      </c>
      <c r="J365" s="111">
        <v>5</v>
      </c>
      <c r="K365" s="111">
        <f t="shared" si="78"/>
        <v>0</v>
      </c>
      <c r="L365" s="111">
        <f t="shared" si="79"/>
        <v>0</v>
      </c>
      <c r="M365" s="143" t="str">
        <f t="shared" si="80"/>
        <v>LOTTT</v>
      </c>
      <c r="N365" s="108">
        <f t="shared" si="81"/>
        <v>0</v>
      </c>
      <c r="O365" s="321">
        <f t="shared" si="82"/>
        <v>0</v>
      </c>
      <c r="P365" s="322"/>
      <c r="Q365" s="321">
        <f t="shared" si="83"/>
        <v>0</v>
      </c>
      <c r="R365" s="173">
        <f>IF(ISNUMBER(VLOOKUP(E365,InteresPres!$B$2:$W$14,Prestaciones!C365-1997+2,0)),VLOOKUP(E365,InteresPres!$B$2:$W$14,Prestaciones!C365-1997+2,0),"0")/100</f>
        <v>0</v>
      </c>
      <c r="S365" s="323">
        <f t="shared" si="84"/>
        <v>0</v>
      </c>
      <c r="T365" s="323">
        <f t="shared" si="85"/>
        <v>0</v>
      </c>
      <c r="U365" s="5"/>
    </row>
    <row r="366" spans="2:21" x14ac:dyDescent="0.25">
      <c r="B366" s="4"/>
      <c r="C366" s="108">
        <f t="shared" si="76"/>
        <v>2040</v>
      </c>
      <c r="D366" s="109">
        <f t="shared" si="86"/>
        <v>7</v>
      </c>
      <c r="E366" s="110" t="str">
        <f>VLOOKUP(D366,FECHAS!$A$3:$B$14,2,0)</f>
        <v>Julio</v>
      </c>
      <c r="F366" s="319"/>
      <c r="G366" s="108">
        <f t="shared" si="77"/>
        <v>29</v>
      </c>
      <c r="H366" s="108">
        <f t="shared" si="75"/>
        <v>4</v>
      </c>
      <c r="I366" s="111">
        <f t="shared" si="87"/>
        <v>0</v>
      </c>
      <c r="J366" s="111">
        <v>5</v>
      </c>
      <c r="K366" s="111">
        <f t="shared" si="78"/>
        <v>15</v>
      </c>
      <c r="L366" s="111">
        <f t="shared" si="79"/>
        <v>0</v>
      </c>
      <c r="M366" s="143" t="str">
        <f t="shared" si="80"/>
        <v>LOTTT</v>
      </c>
      <c r="N366" s="108">
        <f t="shared" si="81"/>
        <v>15</v>
      </c>
      <c r="O366" s="321">
        <f t="shared" si="82"/>
        <v>0</v>
      </c>
      <c r="P366" s="322"/>
      <c r="Q366" s="321">
        <f t="shared" si="83"/>
        <v>0</v>
      </c>
      <c r="R366" s="173">
        <f>IF(ISNUMBER(VLOOKUP(E366,InteresPres!$B$2:$W$14,Prestaciones!C366-1997+2,0)),VLOOKUP(E366,InteresPres!$B$2:$W$14,Prestaciones!C366-1997+2,0),"0")/100</f>
        <v>0</v>
      </c>
      <c r="S366" s="323">
        <f t="shared" si="84"/>
        <v>0</v>
      </c>
      <c r="T366" s="323">
        <f t="shared" si="85"/>
        <v>0</v>
      </c>
      <c r="U366" s="5"/>
    </row>
    <row r="367" spans="2:21" x14ac:dyDescent="0.25">
      <c r="B367" s="4"/>
      <c r="C367" s="108">
        <f t="shared" si="76"/>
        <v>2040</v>
      </c>
      <c r="D367" s="109">
        <f t="shared" si="86"/>
        <v>8</v>
      </c>
      <c r="E367" s="110" t="str">
        <f>VLOOKUP(D367,FECHAS!$A$3:$B$14,2,0)</f>
        <v>Agosto</v>
      </c>
      <c r="F367" s="319"/>
      <c r="G367" s="108">
        <f t="shared" si="77"/>
        <v>29</v>
      </c>
      <c r="H367" s="108">
        <f t="shared" si="75"/>
        <v>5</v>
      </c>
      <c r="I367" s="111">
        <f t="shared" si="87"/>
        <v>0</v>
      </c>
      <c r="J367" s="111">
        <v>5</v>
      </c>
      <c r="K367" s="111">
        <f t="shared" si="78"/>
        <v>0</v>
      </c>
      <c r="L367" s="111">
        <f t="shared" si="79"/>
        <v>0</v>
      </c>
      <c r="M367" s="143" t="str">
        <f t="shared" si="80"/>
        <v>LOTTT</v>
      </c>
      <c r="N367" s="108">
        <f t="shared" si="81"/>
        <v>0</v>
      </c>
      <c r="O367" s="321">
        <f t="shared" si="82"/>
        <v>0</v>
      </c>
      <c r="P367" s="322"/>
      <c r="Q367" s="321">
        <f t="shared" si="83"/>
        <v>0</v>
      </c>
      <c r="R367" s="173">
        <f>IF(ISNUMBER(VLOOKUP(E367,InteresPres!$B$2:$W$14,Prestaciones!C367-1997+2,0)),VLOOKUP(E367,InteresPres!$B$2:$W$14,Prestaciones!C367-1997+2,0),"0")/100</f>
        <v>0</v>
      </c>
      <c r="S367" s="323">
        <f t="shared" si="84"/>
        <v>0</v>
      </c>
      <c r="T367" s="323">
        <f t="shared" si="85"/>
        <v>0</v>
      </c>
      <c r="U367" s="5"/>
    </row>
    <row r="368" spans="2:21" x14ac:dyDescent="0.25">
      <c r="B368" s="4"/>
      <c r="C368" s="108">
        <f t="shared" si="76"/>
        <v>2040</v>
      </c>
      <c r="D368" s="109">
        <f t="shared" si="86"/>
        <v>9</v>
      </c>
      <c r="E368" s="110" t="str">
        <f>VLOOKUP(D368,FECHAS!$A$3:$B$14,2,0)</f>
        <v>Septiembre</v>
      </c>
      <c r="F368" s="319"/>
      <c r="G368" s="108">
        <f t="shared" si="77"/>
        <v>29</v>
      </c>
      <c r="H368" s="108">
        <f t="shared" si="75"/>
        <v>6</v>
      </c>
      <c r="I368" s="111">
        <f t="shared" si="87"/>
        <v>0</v>
      </c>
      <c r="J368" s="111">
        <v>5</v>
      </c>
      <c r="K368" s="111">
        <f t="shared" si="78"/>
        <v>0</v>
      </c>
      <c r="L368" s="111">
        <f t="shared" si="79"/>
        <v>0</v>
      </c>
      <c r="M368" s="143" t="str">
        <f t="shared" si="80"/>
        <v>LOTTT</v>
      </c>
      <c r="N368" s="108">
        <f t="shared" si="81"/>
        <v>0</v>
      </c>
      <c r="O368" s="321">
        <f t="shared" si="82"/>
        <v>0</v>
      </c>
      <c r="P368" s="322"/>
      <c r="Q368" s="321">
        <f t="shared" si="83"/>
        <v>0</v>
      </c>
      <c r="R368" s="173">
        <f>IF(ISNUMBER(VLOOKUP(E368,InteresPres!$B$2:$W$14,Prestaciones!C368-1997+2,0)),VLOOKUP(E368,InteresPres!$B$2:$W$14,Prestaciones!C368-1997+2,0),"0")/100</f>
        <v>0</v>
      </c>
      <c r="S368" s="323">
        <f t="shared" si="84"/>
        <v>0</v>
      </c>
      <c r="T368" s="323">
        <f t="shared" si="85"/>
        <v>0</v>
      </c>
      <c r="U368" s="5"/>
    </row>
    <row r="369" spans="2:21" x14ac:dyDescent="0.25">
      <c r="B369" s="4"/>
      <c r="C369" s="108">
        <f t="shared" si="76"/>
        <v>2040</v>
      </c>
      <c r="D369" s="109">
        <f t="shared" si="86"/>
        <v>10</v>
      </c>
      <c r="E369" s="110" t="str">
        <f>VLOOKUP(D369,FECHAS!$A$3:$B$14,2,0)</f>
        <v>Octubre</v>
      </c>
      <c r="F369" s="319"/>
      <c r="G369" s="108">
        <f t="shared" si="77"/>
        <v>29</v>
      </c>
      <c r="H369" s="108">
        <f t="shared" si="75"/>
        <v>7</v>
      </c>
      <c r="I369" s="111">
        <f t="shared" si="87"/>
        <v>0</v>
      </c>
      <c r="J369" s="111">
        <v>5</v>
      </c>
      <c r="K369" s="111">
        <f t="shared" si="78"/>
        <v>15</v>
      </c>
      <c r="L369" s="111">
        <f t="shared" si="79"/>
        <v>0</v>
      </c>
      <c r="M369" s="143" t="str">
        <f t="shared" si="80"/>
        <v>LOTTT</v>
      </c>
      <c r="N369" s="108">
        <f t="shared" si="81"/>
        <v>15</v>
      </c>
      <c r="O369" s="321">
        <f t="shared" si="82"/>
        <v>0</v>
      </c>
      <c r="P369" s="322"/>
      <c r="Q369" s="321">
        <f t="shared" si="83"/>
        <v>0</v>
      </c>
      <c r="R369" s="173">
        <f>IF(ISNUMBER(VLOOKUP(E369,InteresPres!$B$2:$W$14,Prestaciones!C369-1997+2,0)),VLOOKUP(E369,InteresPres!$B$2:$W$14,Prestaciones!C369-1997+2,0),"0")/100</f>
        <v>0</v>
      </c>
      <c r="S369" s="323">
        <f t="shared" si="84"/>
        <v>0</v>
      </c>
      <c r="T369" s="323">
        <f t="shared" si="85"/>
        <v>0</v>
      </c>
      <c r="U369" s="5"/>
    </row>
    <row r="370" spans="2:21" x14ac:dyDescent="0.25">
      <c r="B370" s="4"/>
      <c r="C370" s="108">
        <f t="shared" si="76"/>
        <v>2040</v>
      </c>
      <c r="D370" s="109">
        <f t="shared" si="86"/>
        <v>11</v>
      </c>
      <c r="E370" s="110" t="str">
        <f>VLOOKUP(D370,FECHAS!$A$3:$B$14,2,0)</f>
        <v>Noviembre</v>
      </c>
      <c r="F370" s="319"/>
      <c r="G370" s="108">
        <f t="shared" si="77"/>
        <v>29</v>
      </c>
      <c r="H370" s="108">
        <f t="shared" si="75"/>
        <v>8</v>
      </c>
      <c r="I370" s="111">
        <f t="shared" si="87"/>
        <v>0</v>
      </c>
      <c r="J370" s="111">
        <v>5</v>
      </c>
      <c r="K370" s="111">
        <f t="shared" si="78"/>
        <v>0</v>
      </c>
      <c r="L370" s="111">
        <f t="shared" si="79"/>
        <v>0</v>
      </c>
      <c r="M370" s="143" t="str">
        <f t="shared" si="80"/>
        <v>LOTTT</v>
      </c>
      <c r="N370" s="108">
        <f t="shared" si="81"/>
        <v>0</v>
      </c>
      <c r="O370" s="321">
        <f t="shared" si="82"/>
        <v>0</v>
      </c>
      <c r="P370" s="322"/>
      <c r="Q370" s="321">
        <f t="shared" si="83"/>
        <v>0</v>
      </c>
      <c r="R370" s="173">
        <f>IF(ISNUMBER(VLOOKUP(E370,InteresPres!$B$2:$W$14,Prestaciones!C370-1997+2,0)),VLOOKUP(E370,InteresPres!$B$2:$W$14,Prestaciones!C370-1997+2,0),"0")/100</f>
        <v>0</v>
      </c>
      <c r="S370" s="323">
        <f t="shared" si="84"/>
        <v>0</v>
      </c>
      <c r="T370" s="323">
        <f t="shared" si="85"/>
        <v>0</v>
      </c>
      <c r="U370" s="5"/>
    </row>
    <row r="371" spans="2:21" x14ac:dyDescent="0.25">
      <c r="B371" s="4"/>
      <c r="C371" s="108">
        <f t="shared" si="76"/>
        <v>2040</v>
      </c>
      <c r="D371" s="109">
        <f t="shared" si="86"/>
        <v>12</v>
      </c>
      <c r="E371" s="110" t="str">
        <f>VLOOKUP(D371,FECHAS!$A$3:$B$14,2,0)</f>
        <v>Diciembre</v>
      </c>
      <c r="F371" s="319"/>
      <c r="G371" s="108">
        <f t="shared" si="77"/>
        <v>29</v>
      </c>
      <c r="H371" s="108">
        <f t="shared" si="75"/>
        <v>9</v>
      </c>
      <c r="I371" s="111">
        <f t="shared" si="87"/>
        <v>0</v>
      </c>
      <c r="J371" s="111">
        <v>5</v>
      </c>
      <c r="K371" s="111">
        <f t="shared" si="78"/>
        <v>0</v>
      </c>
      <c r="L371" s="111">
        <f t="shared" si="79"/>
        <v>0</v>
      </c>
      <c r="M371" s="143" t="str">
        <f t="shared" si="80"/>
        <v>LOTTT</v>
      </c>
      <c r="N371" s="108">
        <f t="shared" si="81"/>
        <v>0</v>
      </c>
      <c r="O371" s="321">
        <f t="shared" si="82"/>
        <v>0</v>
      </c>
      <c r="P371" s="322"/>
      <c r="Q371" s="321">
        <f t="shared" si="83"/>
        <v>0</v>
      </c>
      <c r="R371" s="173">
        <f>IF(ISNUMBER(VLOOKUP(E371,InteresPres!$B$2:$W$14,Prestaciones!C371-1997+2,0)),VLOOKUP(E371,InteresPres!$B$2:$W$14,Prestaciones!C371-1997+2,0),"0")/100</f>
        <v>0</v>
      </c>
      <c r="S371" s="323">
        <f t="shared" si="84"/>
        <v>0</v>
      </c>
      <c r="T371" s="323">
        <f t="shared" si="85"/>
        <v>0</v>
      </c>
      <c r="U371" s="5"/>
    </row>
    <row r="372" spans="2:21" x14ac:dyDescent="0.25">
      <c r="B372" s="4"/>
      <c r="C372" s="108">
        <f t="shared" si="76"/>
        <v>2041</v>
      </c>
      <c r="D372" s="109">
        <f t="shared" si="86"/>
        <v>1</v>
      </c>
      <c r="E372" s="110" t="str">
        <f>VLOOKUP(D372,FECHAS!$A$3:$B$14,2,0)</f>
        <v>Enero</v>
      </c>
      <c r="F372" s="319"/>
      <c r="G372" s="108">
        <f t="shared" si="77"/>
        <v>29</v>
      </c>
      <c r="H372" s="108">
        <f t="shared" si="75"/>
        <v>10</v>
      </c>
      <c r="I372" s="111">
        <f t="shared" si="87"/>
        <v>0</v>
      </c>
      <c r="J372" s="111">
        <v>5</v>
      </c>
      <c r="K372" s="111">
        <f t="shared" si="78"/>
        <v>15</v>
      </c>
      <c r="L372" s="111">
        <f t="shared" si="79"/>
        <v>0</v>
      </c>
      <c r="M372" s="143" t="str">
        <f t="shared" si="80"/>
        <v>LOTTT</v>
      </c>
      <c r="N372" s="108">
        <f t="shared" si="81"/>
        <v>15</v>
      </c>
      <c r="O372" s="321">
        <f t="shared" si="82"/>
        <v>0</v>
      </c>
      <c r="P372" s="322"/>
      <c r="Q372" s="321">
        <f t="shared" si="83"/>
        <v>0</v>
      </c>
      <c r="R372" s="173">
        <f>IF(ISNUMBER(VLOOKUP(E372,InteresPres!$B$2:$W$14,Prestaciones!C372-1997+2,0)),VLOOKUP(E372,InteresPres!$B$2:$W$14,Prestaciones!C372-1997+2,0),"0")/100</f>
        <v>0</v>
      </c>
      <c r="S372" s="323">
        <f t="shared" si="84"/>
        <v>0</v>
      </c>
      <c r="T372" s="323">
        <f t="shared" si="85"/>
        <v>0</v>
      </c>
      <c r="U372" s="5"/>
    </row>
    <row r="373" spans="2:21" x14ac:dyDescent="0.25">
      <c r="B373" s="4"/>
      <c r="C373" s="108">
        <f t="shared" si="76"/>
        <v>2041</v>
      </c>
      <c r="D373" s="109">
        <f t="shared" si="86"/>
        <v>2</v>
      </c>
      <c r="E373" s="110" t="str">
        <f>VLOOKUP(D373,FECHAS!$A$3:$B$14,2,0)</f>
        <v>Febrero</v>
      </c>
      <c r="F373" s="319"/>
      <c r="G373" s="108">
        <f t="shared" si="77"/>
        <v>29</v>
      </c>
      <c r="H373" s="108">
        <f t="shared" si="75"/>
        <v>11</v>
      </c>
      <c r="I373" s="111">
        <f t="shared" si="87"/>
        <v>0</v>
      </c>
      <c r="J373" s="111">
        <v>5</v>
      </c>
      <c r="K373" s="111">
        <f t="shared" si="78"/>
        <v>0</v>
      </c>
      <c r="L373" s="111">
        <f t="shared" si="79"/>
        <v>0</v>
      </c>
      <c r="M373" s="143" t="str">
        <f t="shared" si="80"/>
        <v>LOTTT</v>
      </c>
      <c r="N373" s="108">
        <f t="shared" si="81"/>
        <v>0</v>
      </c>
      <c r="O373" s="321">
        <f t="shared" si="82"/>
        <v>0</v>
      </c>
      <c r="P373" s="322"/>
      <c r="Q373" s="321">
        <f t="shared" si="83"/>
        <v>0</v>
      </c>
      <c r="R373" s="173">
        <f>IF(ISNUMBER(VLOOKUP(E373,InteresPres!$B$2:$W$14,Prestaciones!C373-1997+2,0)),VLOOKUP(E373,InteresPres!$B$2:$W$14,Prestaciones!C373-1997+2,0),"0")/100</f>
        <v>0</v>
      </c>
      <c r="S373" s="323">
        <f t="shared" si="84"/>
        <v>0</v>
      </c>
      <c r="T373" s="323">
        <f t="shared" si="85"/>
        <v>0</v>
      </c>
      <c r="U373" s="5"/>
    </row>
    <row r="374" spans="2:21" x14ac:dyDescent="0.25">
      <c r="B374" s="4"/>
      <c r="C374" s="108">
        <f t="shared" si="76"/>
        <v>2041</v>
      </c>
      <c r="D374" s="109">
        <f t="shared" si="86"/>
        <v>3</v>
      </c>
      <c r="E374" s="110" t="str">
        <f>VLOOKUP(D374,FECHAS!$A$3:$B$14,2,0)</f>
        <v>Marzo</v>
      </c>
      <c r="F374" s="319"/>
      <c r="G374" s="108">
        <f t="shared" si="77"/>
        <v>30</v>
      </c>
      <c r="H374" s="108">
        <f t="shared" si="75"/>
        <v>0</v>
      </c>
      <c r="I374" s="111">
        <f>lottt192(G374,H373)</f>
        <v>30</v>
      </c>
      <c r="J374" s="111">
        <v>5</v>
      </c>
      <c r="K374" s="111">
        <f t="shared" si="78"/>
        <v>0</v>
      </c>
      <c r="L374" s="111">
        <f t="shared" si="79"/>
        <v>0</v>
      </c>
      <c r="M374" s="143" t="str">
        <f t="shared" si="80"/>
        <v>LOTTT</v>
      </c>
      <c r="N374" s="108">
        <f t="shared" si="81"/>
        <v>30</v>
      </c>
      <c r="O374" s="321">
        <f t="shared" si="82"/>
        <v>0</v>
      </c>
      <c r="P374" s="322"/>
      <c r="Q374" s="321">
        <f t="shared" si="83"/>
        <v>0</v>
      </c>
      <c r="R374" s="173">
        <f>IF(ISNUMBER(VLOOKUP(E374,InteresPres!$B$2:$W$14,Prestaciones!C374-1997+2,0)),VLOOKUP(E374,InteresPres!$B$2:$W$14,Prestaciones!C374-1997+2,0),"0")/100</f>
        <v>0</v>
      </c>
      <c r="S374" s="323">
        <f t="shared" si="84"/>
        <v>0</v>
      </c>
      <c r="T374" s="323">
        <f t="shared" si="85"/>
        <v>0</v>
      </c>
      <c r="U374" s="5"/>
    </row>
    <row r="375" spans="2:21" x14ac:dyDescent="0.25">
      <c r="B375" s="4"/>
      <c r="C375" s="108">
        <f t="shared" si="76"/>
        <v>2041</v>
      </c>
      <c r="D375" s="109">
        <f t="shared" si="86"/>
        <v>4</v>
      </c>
      <c r="E375" s="110" t="str">
        <f>VLOOKUP(D375,FECHAS!$A$3:$B$14,2,0)</f>
        <v>Abril</v>
      </c>
      <c r="F375" s="319"/>
      <c r="G375" s="108">
        <f t="shared" si="77"/>
        <v>30</v>
      </c>
      <c r="H375" s="108">
        <f t="shared" si="75"/>
        <v>1</v>
      </c>
      <c r="I375" s="111">
        <f t="shared" si="87"/>
        <v>0</v>
      </c>
      <c r="J375" s="111">
        <v>5</v>
      </c>
      <c r="K375" s="111">
        <f t="shared" si="78"/>
        <v>15</v>
      </c>
      <c r="L375" s="111">
        <f t="shared" si="79"/>
        <v>0</v>
      </c>
      <c r="M375" s="143" t="str">
        <f t="shared" si="80"/>
        <v>LOTTT</v>
      </c>
      <c r="N375" s="108">
        <f t="shared" si="81"/>
        <v>15</v>
      </c>
      <c r="O375" s="321">
        <f t="shared" si="82"/>
        <v>0</v>
      </c>
      <c r="P375" s="322"/>
      <c r="Q375" s="321">
        <f t="shared" si="83"/>
        <v>0</v>
      </c>
      <c r="R375" s="173">
        <f>IF(ISNUMBER(VLOOKUP(E375,InteresPres!$B$2:$W$14,Prestaciones!C375-1997+2,0)),VLOOKUP(E375,InteresPres!$B$2:$W$14,Prestaciones!C375-1997+2,0),"0")/100</f>
        <v>0</v>
      </c>
      <c r="S375" s="323">
        <f t="shared" si="84"/>
        <v>0</v>
      </c>
      <c r="T375" s="323">
        <f t="shared" si="85"/>
        <v>0</v>
      </c>
      <c r="U375" s="5"/>
    </row>
    <row r="376" spans="2:21" x14ac:dyDescent="0.25">
      <c r="B376" s="4"/>
      <c r="C376" s="108">
        <f t="shared" si="76"/>
        <v>2041</v>
      </c>
      <c r="D376" s="109">
        <f t="shared" si="86"/>
        <v>5</v>
      </c>
      <c r="E376" s="110" t="str">
        <f>VLOOKUP(D376,FECHAS!$A$3:$B$14,2,0)</f>
        <v>Mayo</v>
      </c>
      <c r="F376" s="319"/>
      <c r="G376" s="108">
        <f t="shared" si="77"/>
        <v>30</v>
      </c>
      <c r="H376" s="108">
        <f t="shared" si="75"/>
        <v>2</v>
      </c>
      <c r="I376" s="111">
        <f t="shared" si="87"/>
        <v>0</v>
      </c>
      <c r="J376" s="111">
        <v>5</v>
      </c>
      <c r="K376" s="111">
        <f t="shared" si="78"/>
        <v>0</v>
      </c>
      <c r="L376" s="111">
        <f t="shared" si="79"/>
        <v>0</v>
      </c>
      <c r="M376" s="143" t="str">
        <f t="shared" si="80"/>
        <v>LOTTT</v>
      </c>
      <c r="N376" s="108">
        <f t="shared" si="81"/>
        <v>0</v>
      </c>
      <c r="O376" s="321">
        <f t="shared" si="82"/>
        <v>0</v>
      </c>
      <c r="P376" s="322"/>
      <c r="Q376" s="321">
        <f t="shared" si="83"/>
        <v>0</v>
      </c>
      <c r="R376" s="173">
        <f>IF(ISNUMBER(VLOOKUP(E376,InteresPres!$B$2:$W$14,Prestaciones!C376-1997+2,0)),VLOOKUP(E376,InteresPres!$B$2:$W$14,Prestaciones!C376-1997+2,0),"0")/100</f>
        <v>0</v>
      </c>
      <c r="S376" s="323">
        <f t="shared" si="84"/>
        <v>0</v>
      </c>
      <c r="T376" s="323">
        <f t="shared" si="85"/>
        <v>0</v>
      </c>
      <c r="U376" s="5"/>
    </row>
    <row r="377" spans="2:21" x14ac:dyDescent="0.25">
      <c r="B377" s="4"/>
      <c r="C377" s="108">
        <f t="shared" si="76"/>
        <v>2041</v>
      </c>
      <c r="D377" s="109">
        <f t="shared" si="86"/>
        <v>6</v>
      </c>
      <c r="E377" s="110" t="str">
        <f>VLOOKUP(D377,FECHAS!$A$3:$B$14,2,0)</f>
        <v>Junio</v>
      </c>
      <c r="F377" s="319"/>
      <c r="G377" s="108">
        <f t="shared" si="77"/>
        <v>30</v>
      </c>
      <c r="H377" s="108">
        <f t="shared" si="75"/>
        <v>3</v>
      </c>
      <c r="I377" s="111">
        <f t="shared" si="87"/>
        <v>0</v>
      </c>
      <c r="J377" s="111">
        <v>5</v>
      </c>
      <c r="K377" s="111">
        <f t="shared" si="78"/>
        <v>0</v>
      </c>
      <c r="L377" s="111">
        <f t="shared" si="79"/>
        <v>0</v>
      </c>
      <c r="M377" s="143" t="str">
        <f t="shared" si="80"/>
        <v>LOTTT</v>
      </c>
      <c r="N377" s="108">
        <f t="shared" si="81"/>
        <v>0</v>
      </c>
      <c r="O377" s="321">
        <f t="shared" si="82"/>
        <v>0</v>
      </c>
      <c r="P377" s="322"/>
      <c r="Q377" s="321">
        <f t="shared" si="83"/>
        <v>0</v>
      </c>
      <c r="R377" s="173">
        <f>IF(ISNUMBER(VLOOKUP(E377,InteresPres!$B$2:$W$14,Prestaciones!C377-1997+2,0)),VLOOKUP(E377,InteresPres!$B$2:$W$14,Prestaciones!C377-1997+2,0),"0")/100</f>
        <v>0</v>
      </c>
      <c r="S377" s="323">
        <f t="shared" si="84"/>
        <v>0</v>
      </c>
      <c r="T377" s="323">
        <f t="shared" si="85"/>
        <v>0</v>
      </c>
      <c r="U377" s="5"/>
    </row>
    <row r="378" spans="2:21" x14ac:dyDescent="0.25">
      <c r="B378" s="4"/>
      <c r="C378" s="108">
        <f t="shared" si="76"/>
        <v>2041</v>
      </c>
      <c r="D378" s="109">
        <f t="shared" si="86"/>
        <v>7</v>
      </c>
      <c r="E378" s="110" t="str">
        <f>VLOOKUP(D378,FECHAS!$A$3:$B$14,2,0)</f>
        <v>Julio</v>
      </c>
      <c r="F378" s="319"/>
      <c r="G378" s="108">
        <f t="shared" si="77"/>
        <v>30</v>
      </c>
      <c r="H378" s="108">
        <f t="shared" si="75"/>
        <v>4</v>
      </c>
      <c r="I378" s="111">
        <f t="shared" si="87"/>
        <v>0</v>
      </c>
      <c r="J378" s="111">
        <v>5</v>
      </c>
      <c r="K378" s="111">
        <f t="shared" si="78"/>
        <v>15</v>
      </c>
      <c r="L378" s="111">
        <f t="shared" si="79"/>
        <v>0</v>
      </c>
      <c r="M378" s="143" t="str">
        <f t="shared" si="80"/>
        <v>LOTTT</v>
      </c>
      <c r="N378" s="108">
        <f t="shared" si="81"/>
        <v>15</v>
      </c>
      <c r="O378" s="321">
        <f t="shared" si="82"/>
        <v>0</v>
      </c>
      <c r="P378" s="322"/>
      <c r="Q378" s="321">
        <f t="shared" si="83"/>
        <v>0</v>
      </c>
      <c r="R378" s="173">
        <f>IF(ISNUMBER(VLOOKUP(E378,InteresPres!$B$2:$W$14,Prestaciones!C378-1997+2,0)),VLOOKUP(E378,InteresPres!$B$2:$W$14,Prestaciones!C378-1997+2,0),"0")/100</f>
        <v>0</v>
      </c>
      <c r="S378" s="323">
        <f t="shared" si="84"/>
        <v>0</v>
      </c>
      <c r="T378" s="323">
        <f t="shared" si="85"/>
        <v>0</v>
      </c>
      <c r="U378" s="5"/>
    </row>
    <row r="379" spans="2:21" x14ac:dyDescent="0.25">
      <c r="B379" s="4"/>
      <c r="C379" s="108">
        <f t="shared" si="76"/>
        <v>2041</v>
      </c>
      <c r="D379" s="109">
        <f t="shared" si="86"/>
        <v>8</v>
      </c>
      <c r="E379" s="110" t="str">
        <f>VLOOKUP(D379,FECHAS!$A$3:$B$14,2,0)</f>
        <v>Agosto</v>
      </c>
      <c r="F379" s="319"/>
      <c r="G379" s="108">
        <f t="shared" si="77"/>
        <v>30</v>
      </c>
      <c r="H379" s="108">
        <f t="shared" si="75"/>
        <v>5</v>
      </c>
      <c r="I379" s="111">
        <f t="shared" si="87"/>
        <v>0</v>
      </c>
      <c r="J379" s="111">
        <v>5</v>
      </c>
      <c r="K379" s="111">
        <f t="shared" si="78"/>
        <v>0</v>
      </c>
      <c r="L379" s="111">
        <f t="shared" si="79"/>
        <v>0</v>
      </c>
      <c r="M379" s="143" t="str">
        <f t="shared" si="80"/>
        <v>LOTTT</v>
      </c>
      <c r="N379" s="108">
        <f t="shared" si="81"/>
        <v>0</v>
      </c>
      <c r="O379" s="321">
        <f t="shared" si="82"/>
        <v>0</v>
      </c>
      <c r="P379" s="322"/>
      <c r="Q379" s="321">
        <f t="shared" si="83"/>
        <v>0</v>
      </c>
      <c r="R379" s="173">
        <f>IF(ISNUMBER(VLOOKUP(E379,InteresPres!$B$2:$W$14,Prestaciones!C379-1997+2,0)),VLOOKUP(E379,InteresPres!$B$2:$W$14,Prestaciones!C379-1997+2,0),"0")/100</f>
        <v>0</v>
      </c>
      <c r="S379" s="323">
        <f t="shared" si="84"/>
        <v>0</v>
      </c>
      <c r="T379" s="323">
        <f t="shared" si="85"/>
        <v>0</v>
      </c>
      <c r="U379" s="5"/>
    </row>
    <row r="380" spans="2:21" x14ac:dyDescent="0.25">
      <c r="B380" s="4"/>
      <c r="C380" s="108">
        <f t="shared" si="76"/>
        <v>2041</v>
      </c>
      <c r="D380" s="109">
        <f t="shared" si="86"/>
        <v>9</v>
      </c>
      <c r="E380" s="110" t="str">
        <f>VLOOKUP(D380,FECHAS!$A$3:$B$14,2,0)</f>
        <v>Septiembre</v>
      </c>
      <c r="F380" s="319"/>
      <c r="G380" s="108">
        <f t="shared" si="77"/>
        <v>30</v>
      </c>
      <c r="H380" s="108">
        <f t="shared" si="75"/>
        <v>6</v>
      </c>
      <c r="I380" s="111">
        <f t="shared" si="87"/>
        <v>0</v>
      </c>
      <c r="J380" s="111">
        <v>5</v>
      </c>
      <c r="K380" s="111">
        <f t="shared" si="78"/>
        <v>0</v>
      </c>
      <c r="L380" s="111">
        <f t="shared" si="79"/>
        <v>0</v>
      </c>
      <c r="M380" s="143" t="str">
        <f t="shared" si="80"/>
        <v>LOTTT</v>
      </c>
      <c r="N380" s="108">
        <f t="shared" si="81"/>
        <v>0</v>
      </c>
      <c r="O380" s="321">
        <f t="shared" si="82"/>
        <v>0</v>
      </c>
      <c r="P380" s="322"/>
      <c r="Q380" s="321">
        <f t="shared" si="83"/>
        <v>0</v>
      </c>
      <c r="R380" s="173">
        <f>IF(ISNUMBER(VLOOKUP(E380,InteresPres!$B$2:$W$14,Prestaciones!C380-1997+2,0)),VLOOKUP(E380,InteresPres!$B$2:$W$14,Prestaciones!C380-1997+2,0),"0")/100</f>
        <v>0</v>
      </c>
      <c r="S380" s="323">
        <f t="shared" si="84"/>
        <v>0</v>
      </c>
      <c r="T380" s="323">
        <f t="shared" si="85"/>
        <v>0</v>
      </c>
      <c r="U380" s="5"/>
    </row>
    <row r="381" spans="2:21" x14ac:dyDescent="0.25">
      <c r="B381" s="4"/>
      <c r="C381" s="108">
        <f t="shared" si="76"/>
        <v>2041</v>
      </c>
      <c r="D381" s="109">
        <f t="shared" si="86"/>
        <v>10</v>
      </c>
      <c r="E381" s="110" t="str">
        <f>VLOOKUP(D381,FECHAS!$A$3:$B$14,2,0)</f>
        <v>Octubre</v>
      </c>
      <c r="F381" s="319"/>
      <c r="G381" s="108">
        <f t="shared" si="77"/>
        <v>30</v>
      </c>
      <c r="H381" s="108">
        <f t="shared" si="75"/>
        <v>7</v>
      </c>
      <c r="I381" s="111">
        <f t="shared" si="87"/>
        <v>0</v>
      </c>
      <c r="J381" s="111">
        <v>5</v>
      </c>
      <c r="K381" s="111">
        <f t="shared" si="78"/>
        <v>15</v>
      </c>
      <c r="L381" s="111">
        <f t="shared" si="79"/>
        <v>0</v>
      </c>
      <c r="M381" s="143" t="str">
        <f t="shared" si="80"/>
        <v>LOTTT</v>
      </c>
      <c r="N381" s="108">
        <f t="shared" si="81"/>
        <v>15</v>
      </c>
      <c r="O381" s="321">
        <f t="shared" si="82"/>
        <v>0</v>
      </c>
      <c r="P381" s="322"/>
      <c r="Q381" s="321">
        <f t="shared" si="83"/>
        <v>0</v>
      </c>
      <c r="R381" s="173">
        <f>IF(ISNUMBER(VLOOKUP(E381,InteresPres!$B$2:$W$14,Prestaciones!C381-1997+2,0)),VLOOKUP(E381,InteresPres!$B$2:$W$14,Prestaciones!C381-1997+2,0),"0")/100</f>
        <v>0</v>
      </c>
      <c r="S381" s="323">
        <f t="shared" si="84"/>
        <v>0</v>
      </c>
      <c r="T381" s="323">
        <f t="shared" si="85"/>
        <v>0</v>
      </c>
      <c r="U381" s="5"/>
    </row>
    <row r="382" spans="2:21" x14ac:dyDescent="0.25">
      <c r="B382" s="4"/>
      <c r="C382" s="108">
        <f t="shared" si="76"/>
        <v>2041</v>
      </c>
      <c r="D382" s="109">
        <f t="shared" si="86"/>
        <v>11</v>
      </c>
      <c r="E382" s="110" t="str">
        <f>VLOOKUP(D382,FECHAS!$A$3:$B$14,2,0)</f>
        <v>Noviembre</v>
      </c>
      <c r="F382" s="319"/>
      <c r="G382" s="108">
        <f t="shared" si="77"/>
        <v>30</v>
      </c>
      <c r="H382" s="108">
        <f t="shared" si="75"/>
        <v>8</v>
      </c>
      <c r="I382" s="111">
        <f t="shared" si="87"/>
        <v>0</v>
      </c>
      <c r="J382" s="111">
        <v>5</v>
      </c>
      <c r="K382" s="111">
        <f t="shared" si="78"/>
        <v>0</v>
      </c>
      <c r="L382" s="111">
        <f t="shared" si="79"/>
        <v>0</v>
      </c>
      <c r="M382" s="143" t="str">
        <f t="shared" si="80"/>
        <v>LOTTT</v>
      </c>
      <c r="N382" s="108">
        <f t="shared" si="81"/>
        <v>0</v>
      </c>
      <c r="O382" s="321">
        <f t="shared" si="82"/>
        <v>0</v>
      </c>
      <c r="P382" s="322"/>
      <c r="Q382" s="321">
        <f t="shared" si="83"/>
        <v>0</v>
      </c>
      <c r="R382" s="173">
        <f>IF(ISNUMBER(VLOOKUP(E382,InteresPres!$B$2:$W$14,Prestaciones!C382-1997+2,0)),VLOOKUP(E382,InteresPres!$B$2:$W$14,Prestaciones!C382-1997+2,0),"0")/100</f>
        <v>0</v>
      </c>
      <c r="S382" s="323">
        <f t="shared" si="84"/>
        <v>0</v>
      </c>
      <c r="T382" s="323">
        <f t="shared" si="85"/>
        <v>0</v>
      </c>
      <c r="U382" s="5"/>
    </row>
    <row r="383" spans="2:21" x14ac:dyDescent="0.25">
      <c r="B383" s="4"/>
      <c r="C383" s="108">
        <f t="shared" si="76"/>
        <v>2041</v>
      </c>
      <c r="D383" s="109">
        <f t="shared" si="86"/>
        <v>12</v>
      </c>
      <c r="E383" s="110" t="str">
        <f>VLOOKUP(D383,FECHAS!$A$3:$B$14,2,0)</f>
        <v>Diciembre</v>
      </c>
      <c r="F383" s="319"/>
      <c r="G383" s="108">
        <f t="shared" si="77"/>
        <v>30</v>
      </c>
      <c r="H383" s="108">
        <f t="shared" si="75"/>
        <v>9</v>
      </c>
      <c r="I383" s="111">
        <f t="shared" si="87"/>
        <v>0</v>
      </c>
      <c r="J383" s="111">
        <v>5</v>
      </c>
      <c r="K383" s="111">
        <f t="shared" si="78"/>
        <v>0</v>
      </c>
      <c r="L383" s="111">
        <f t="shared" si="79"/>
        <v>0</v>
      </c>
      <c r="M383" s="143" t="str">
        <f t="shared" si="80"/>
        <v>LOTTT</v>
      </c>
      <c r="N383" s="108">
        <f t="shared" si="81"/>
        <v>0</v>
      </c>
      <c r="O383" s="321">
        <f t="shared" si="82"/>
        <v>0</v>
      </c>
      <c r="P383" s="322"/>
      <c r="Q383" s="321">
        <f t="shared" si="83"/>
        <v>0</v>
      </c>
      <c r="R383" s="173">
        <f>IF(ISNUMBER(VLOOKUP(E383,InteresPres!$B$2:$W$14,Prestaciones!C383-1997+2,0)),VLOOKUP(E383,InteresPres!$B$2:$W$14,Prestaciones!C383-1997+2,0),"0")/100</f>
        <v>0</v>
      </c>
      <c r="S383" s="323">
        <f t="shared" si="84"/>
        <v>0</v>
      </c>
      <c r="T383" s="323">
        <f t="shared" si="85"/>
        <v>0</v>
      </c>
      <c r="U383" s="5"/>
    </row>
    <row r="384" spans="2:21" x14ac:dyDescent="0.25">
      <c r="B384" s="4"/>
      <c r="C384" s="108">
        <f t="shared" si="76"/>
        <v>2042</v>
      </c>
      <c r="D384" s="109">
        <f t="shared" si="86"/>
        <v>1</v>
      </c>
      <c r="E384" s="110" t="str">
        <f>VLOOKUP(D384,FECHAS!$A$3:$B$14,2,0)</f>
        <v>Enero</v>
      </c>
      <c r="F384" s="319"/>
      <c r="G384" s="108">
        <f t="shared" si="77"/>
        <v>30</v>
      </c>
      <c r="H384" s="108">
        <f t="shared" si="75"/>
        <v>10</v>
      </c>
      <c r="I384" s="111">
        <f t="shared" si="87"/>
        <v>0</v>
      </c>
      <c r="J384" s="111">
        <v>5</v>
      </c>
      <c r="K384" s="111">
        <f t="shared" si="78"/>
        <v>15</v>
      </c>
      <c r="L384" s="111">
        <f t="shared" si="79"/>
        <v>0</v>
      </c>
      <c r="M384" s="143" t="str">
        <f t="shared" si="80"/>
        <v>LOTTT</v>
      </c>
      <c r="N384" s="108">
        <f t="shared" si="81"/>
        <v>15</v>
      </c>
      <c r="O384" s="321">
        <f t="shared" si="82"/>
        <v>0</v>
      </c>
      <c r="P384" s="322"/>
      <c r="Q384" s="321">
        <f t="shared" si="83"/>
        <v>0</v>
      </c>
      <c r="R384" s="173">
        <f>IF(ISNUMBER(VLOOKUP(E384,InteresPres!$B$2:$W$14,Prestaciones!C384-1997+2,0)),VLOOKUP(E384,InteresPres!$B$2:$W$14,Prestaciones!C384-1997+2,0),"0")/100</f>
        <v>0</v>
      </c>
      <c r="S384" s="323">
        <f t="shared" si="84"/>
        <v>0</v>
      </c>
      <c r="T384" s="323">
        <f t="shared" si="85"/>
        <v>0</v>
      </c>
      <c r="U384" s="5"/>
    </row>
    <row r="385" spans="2:21" ht="15.75" thickBot="1" x14ac:dyDescent="0.3">
      <c r="B385" s="9"/>
      <c r="C385" s="242">
        <f t="shared" si="76"/>
        <v>2042</v>
      </c>
      <c r="D385" s="243">
        <f t="shared" si="86"/>
        <v>2</v>
      </c>
      <c r="E385" s="244" t="str">
        <f>VLOOKUP(D385,FECHAS!$A$3:$B$14,2,0)</f>
        <v>Febrero</v>
      </c>
      <c r="F385" s="319"/>
      <c r="G385" s="242">
        <f t="shared" si="77"/>
        <v>30</v>
      </c>
      <c r="H385" s="242">
        <f t="shared" si="75"/>
        <v>11</v>
      </c>
      <c r="I385" s="111">
        <f t="shared" si="87"/>
        <v>0</v>
      </c>
      <c r="J385" s="111">
        <v>5</v>
      </c>
      <c r="K385" s="245">
        <f t="shared" si="78"/>
        <v>0</v>
      </c>
      <c r="L385" s="245">
        <f t="shared" si="79"/>
        <v>0</v>
      </c>
      <c r="M385" s="246" t="str">
        <f t="shared" si="80"/>
        <v>LOTTT</v>
      </c>
      <c r="N385" s="242">
        <f t="shared" si="81"/>
        <v>0</v>
      </c>
      <c r="O385" s="324">
        <f t="shared" si="82"/>
        <v>0</v>
      </c>
      <c r="P385" s="322"/>
      <c r="Q385" s="324">
        <f t="shared" si="83"/>
        <v>0</v>
      </c>
      <c r="R385" s="173">
        <f>IF(ISNUMBER(VLOOKUP(E385,InteresPres!$B$2:$W$14,Prestaciones!C385-1997+2,0)),VLOOKUP(E385,InteresPres!$B$2:$W$14,Prestaciones!C385-1997+2,0),"0")/100</f>
        <v>0</v>
      </c>
      <c r="S385" s="325">
        <f t="shared" si="84"/>
        <v>0</v>
      </c>
      <c r="T385" s="325">
        <f t="shared" si="85"/>
        <v>0</v>
      </c>
      <c r="U385" s="11"/>
    </row>
    <row r="386" spans="2:21" x14ac:dyDescent="0.25">
      <c r="B386" s="6"/>
      <c r="C386" s="80"/>
      <c r="D386" s="234"/>
      <c r="E386" s="182"/>
      <c r="F386" s="68"/>
      <c r="G386" s="80"/>
      <c r="H386" s="80"/>
      <c r="I386" s="97"/>
      <c r="J386" s="97"/>
      <c r="K386" s="97"/>
      <c r="L386" s="97"/>
      <c r="M386" s="142"/>
      <c r="N386" s="80"/>
      <c r="O386" s="8"/>
      <c r="P386" s="68"/>
      <c r="Q386" s="8"/>
      <c r="R386" s="8"/>
      <c r="S386" s="8"/>
      <c r="T386" s="8"/>
      <c r="U386" s="6"/>
    </row>
    <row r="387" spans="2:21" x14ac:dyDescent="0.25">
      <c r="B387" s="66"/>
      <c r="C387" s="235"/>
      <c r="D387" s="236"/>
      <c r="E387" s="237"/>
      <c r="F387" s="238"/>
      <c r="G387" s="235"/>
      <c r="H387" s="235"/>
      <c r="I387" s="205"/>
      <c r="J387" s="205"/>
      <c r="K387" s="205"/>
      <c r="L387" s="205"/>
      <c r="M387" s="239"/>
      <c r="N387" s="235"/>
      <c r="O387" s="240"/>
      <c r="P387" s="238"/>
      <c r="Q387" s="240"/>
      <c r="R387" s="241"/>
      <c r="S387" s="240"/>
      <c r="T387" s="240"/>
      <c r="U387" s="66"/>
    </row>
    <row r="388" spans="2:21" x14ac:dyDescent="0.25">
      <c r="B388" s="66"/>
      <c r="C388" s="235"/>
      <c r="D388" s="236"/>
      <c r="E388" s="237"/>
      <c r="F388" s="238"/>
      <c r="G388" s="235"/>
      <c r="H388" s="235"/>
      <c r="I388" s="205"/>
      <c r="J388" s="205"/>
      <c r="K388" s="205"/>
      <c r="L388" s="205"/>
      <c r="M388" s="239"/>
      <c r="N388" s="235"/>
      <c r="O388" s="240"/>
      <c r="P388" s="238"/>
      <c r="Q388" s="240"/>
      <c r="R388" s="241"/>
      <c r="S388" s="240"/>
      <c r="T388" s="240"/>
      <c r="U388" s="66"/>
    </row>
    <row r="389" spans="2:21" x14ac:dyDescent="0.25">
      <c r="B389" s="66"/>
      <c r="C389" s="235"/>
      <c r="D389" s="236"/>
      <c r="E389" s="237"/>
      <c r="F389" s="238"/>
      <c r="G389" s="235"/>
      <c r="H389" s="235"/>
      <c r="I389" s="205"/>
      <c r="J389" s="205"/>
      <c r="K389" s="205"/>
      <c r="L389" s="205"/>
      <c r="M389" s="239"/>
      <c r="N389" s="235"/>
      <c r="O389" s="240"/>
      <c r="P389" s="238"/>
      <c r="Q389" s="240"/>
      <c r="R389" s="241"/>
      <c r="S389" s="240"/>
      <c r="T389" s="240"/>
      <c r="U389" s="66"/>
    </row>
    <row r="390" spans="2:21" x14ac:dyDescent="0.25">
      <c r="B390" s="66"/>
      <c r="C390" s="235"/>
      <c r="D390" s="236"/>
      <c r="E390" s="237"/>
      <c r="F390" s="238"/>
      <c r="G390" s="235"/>
      <c r="H390" s="235"/>
      <c r="I390" s="205"/>
      <c r="J390" s="205"/>
      <c r="K390" s="205"/>
      <c r="L390" s="205"/>
      <c r="M390" s="239"/>
      <c r="N390" s="235"/>
      <c r="O390" s="240"/>
      <c r="P390" s="238"/>
      <c r="Q390" s="240"/>
      <c r="R390" s="241"/>
      <c r="S390" s="240"/>
      <c r="T390" s="240"/>
      <c r="U390" s="66"/>
    </row>
    <row r="391" spans="2:21" x14ac:dyDescent="0.25">
      <c r="B391" s="66"/>
      <c r="C391" s="235"/>
      <c r="D391" s="236"/>
      <c r="E391" s="237"/>
      <c r="F391" s="238"/>
      <c r="G391" s="235"/>
      <c r="H391" s="235"/>
      <c r="I391" s="205"/>
      <c r="J391" s="205"/>
      <c r="K391" s="205"/>
      <c r="L391" s="205"/>
      <c r="M391" s="239"/>
      <c r="N391" s="235"/>
      <c r="O391" s="240"/>
      <c r="P391" s="238"/>
      <c r="Q391" s="240"/>
      <c r="R391" s="241"/>
      <c r="S391" s="240"/>
      <c r="T391" s="240"/>
      <c r="U391" s="66"/>
    </row>
    <row r="392" spans="2:21" x14ac:dyDescent="0.25">
      <c r="B392" s="66"/>
      <c r="C392" s="235"/>
      <c r="D392" s="236"/>
      <c r="E392" s="237"/>
      <c r="F392" s="238"/>
      <c r="G392" s="235"/>
      <c r="H392" s="235"/>
      <c r="I392" s="205"/>
      <c r="J392" s="205"/>
      <c r="K392" s="205"/>
      <c r="L392" s="205"/>
      <c r="M392" s="239"/>
      <c r="N392" s="235"/>
      <c r="O392" s="240"/>
      <c r="P392" s="238"/>
      <c r="Q392" s="240"/>
      <c r="R392" s="241"/>
      <c r="S392" s="240"/>
      <c r="T392" s="240"/>
      <c r="U392" s="66"/>
    </row>
    <row r="393" spans="2:21" x14ac:dyDescent="0.25">
      <c r="B393" s="66"/>
      <c r="C393" s="235"/>
      <c r="D393" s="236"/>
      <c r="E393" s="237"/>
      <c r="F393" s="238"/>
      <c r="G393" s="235"/>
      <c r="H393" s="235"/>
      <c r="I393" s="205"/>
      <c r="J393" s="205"/>
      <c r="K393" s="205"/>
      <c r="L393" s="205"/>
      <c r="M393" s="239"/>
      <c r="N393" s="235"/>
      <c r="O393" s="240"/>
      <c r="P393" s="238"/>
      <c r="Q393" s="240"/>
      <c r="R393" s="241"/>
      <c r="S393" s="240"/>
      <c r="T393" s="240"/>
      <c r="U393" s="66"/>
    </row>
    <row r="394" spans="2:21" x14ac:dyDescent="0.25">
      <c r="B394" s="66"/>
      <c r="C394" s="235"/>
      <c r="D394" s="236"/>
      <c r="E394" s="237"/>
      <c r="F394" s="238"/>
      <c r="G394" s="235"/>
      <c r="H394" s="235"/>
      <c r="I394" s="205"/>
      <c r="J394" s="205"/>
      <c r="K394" s="205"/>
      <c r="L394" s="205"/>
      <c r="M394" s="239"/>
      <c r="N394" s="235"/>
      <c r="O394" s="240"/>
      <c r="P394" s="238"/>
      <c r="Q394" s="240"/>
      <c r="R394" s="241"/>
      <c r="S394" s="240"/>
      <c r="T394" s="240"/>
      <c r="U394" s="66"/>
    </row>
    <row r="395" spans="2:21" x14ac:dyDescent="0.25">
      <c r="B395" s="66"/>
      <c r="C395" s="235"/>
      <c r="D395" s="236"/>
      <c r="E395" s="237"/>
      <c r="F395" s="238"/>
      <c r="G395" s="235"/>
      <c r="H395" s="235"/>
      <c r="I395" s="205"/>
      <c r="J395" s="205"/>
      <c r="K395" s="205"/>
      <c r="L395" s="205"/>
      <c r="M395" s="239"/>
      <c r="N395" s="235"/>
      <c r="O395" s="240"/>
      <c r="P395" s="238"/>
      <c r="Q395" s="240"/>
      <c r="R395" s="241"/>
      <c r="S395" s="240"/>
      <c r="T395" s="240"/>
      <c r="U395" s="66"/>
    </row>
    <row r="396" spans="2:21" x14ac:dyDescent="0.25">
      <c r="B396" s="66"/>
      <c r="C396" s="235"/>
      <c r="D396" s="236"/>
      <c r="E396" s="237"/>
      <c r="F396" s="238"/>
      <c r="G396" s="235"/>
      <c r="H396" s="235"/>
      <c r="I396" s="205"/>
      <c r="J396" s="205"/>
      <c r="K396" s="205"/>
      <c r="L396" s="205"/>
      <c r="M396" s="239"/>
      <c r="N396" s="235"/>
      <c r="O396" s="240"/>
      <c r="P396" s="238"/>
      <c r="Q396" s="240"/>
      <c r="R396" s="241"/>
      <c r="S396" s="240"/>
      <c r="T396" s="240"/>
      <c r="U396" s="66"/>
    </row>
    <row r="397" spans="2:21" x14ac:dyDescent="0.25">
      <c r="B397" s="66"/>
      <c r="C397" s="235"/>
      <c r="D397" s="236"/>
      <c r="E397" s="237"/>
      <c r="F397" s="238"/>
      <c r="G397" s="235"/>
      <c r="H397" s="235"/>
      <c r="I397" s="205"/>
      <c r="J397" s="205"/>
      <c r="K397" s="205"/>
      <c r="L397" s="205"/>
      <c r="M397" s="239"/>
      <c r="N397" s="235"/>
      <c r="O397" s="240"/>
      <c r="P397" s="238"/>
      <c r="Q397" s="240"/>
      <c r="R397" s="241"/>
      <c r="S397" s="240"/>
      <c r="T397" s="240"/>
      <c r="U397" s="66"/>
    </row>
    <row r="398" spans="2:21" x14ac:dyDescent="0.25">
      <c r="B398" s="66"/>
      <c r="C398" s="235"/>
      <c r="D398" s="236"/>
      <c r="E398" s="237"/>
      <c r="F398" s="238"/>
      <c r="G398" s="235"/>
      <c r="H398" s="235"/>
      <c r="I398" s="205"/>
      <c r="J398" s="205"/>
      <c r="K398" s="205"/>
      <c r="L398" s="205"/>
      <c r="M398" s="239"/>
      <c r="N398" s="235"/>
      <c r="O398" s="240"/>
      <c r="P398" s="238"/>
      <c r="Q398" s="240"/>
      <c r="R398" s="241"/>
      <c r="S398" s="240"/>
      <c r="T398" s="240"/>
      <c r="U398" s="66"/>
    </row>
    <row r="399" spans="2:21" x14ac:dyDescent="0.25">
      <c r="B399" s="66"/>
      <c r="C399" s="235"/>
      <c r="D399" s="236"/>
      <c r="E399" s="237"/>
      <c r="F399" s="238"/>
      <c r="G399" s="235"/>
      <c r="H399" s="235"/>
      <c r="I399" s="205"/>
      <c r="J399" s="205"/>
      <c r="K399" s="205"/>
      <c r="L399" s="205"/>
      <c r="M399" s="239"/>
      <c r="N399" s="235"/>
      <c r="O399" s="240"/>
      <c r="P399" s="238"/>
      <c r="Q399" s="240"/>
      <c r="R399" s="241"/>
      <c r="S399" s="240"/>
      <c r="T399" s="240"/>
      <c r="U399" s="66"/>
    </row>
    <row r="400" spans="2:21" x14ac:dyDescent="0.25">
      <c r="B400" s="66"/>
      <c r="C400" s="235"/>
      <c r="D400" s="236"/>
      <c r="E400" s="237"/>
      <c r="F400" s="238"/>
      <c r="G400" s="235"/>
      <c r="H400" s="235"/>
      <c r="I400" s="205"/>
      <c r="J400" s="205"/>
      <c r="K400" s="205"/>
      <c r="L400" s="205"/>
      <c r="M400" s="239"/>
      <c r="N400" s="235"/>
      <c r="O400" s="240"/>
      <c r="P400" s="238"/>
      <c r="Q400" s="240"/>
      <c r="R400" s="241"/>
      <c r="S400" s="240"/>
      <c r="T400" s="240"/>
      <c r="U400" s="66"/>
    </row>
    <row r="401" spans="2:21" x14ac:dyDescent="0.25">
      <c r="B401" s="66"/>
      <c r="C401" s="235"/>
      <c r="D401" s="236"/>
      <c r="E401" s="237"/>
      <c r="F401" s="238"/>
      <c r="G401" s="235"/>
      <c r="H401" s="235"/>
      <c r="I401" s="205"/>
      <c r="J401" s="205"/>
      <c r="K401" s="205"/>
      <c r="L401" s="205"/>
      <c r="M401" s="239"/>
      <c r="N401" s="235"/>
      <c r="O401" s="240"/>
      <c r="P401" s="238"/>
      <c r="Q401" s="240"/>
      <c r="R401" s="241"/>
      <c r="S401" s="240"/>
      <c r="T401" s="240"/>
      <c r="U401" s="66"/>
    </row>
    <row r="402" spans="2:21" x14ac:dyDescent="0.25">
      <c r="B402" s="66"/>
      <c r="C402" s="235"/>
      <c r="D402" s="236"/>
      <c r="E402" s="237"/>
      <c r="F402" s="238"/>
      <c r="G402" s="235"/>
      <c r="H402" s="235"/>
      <c r="I402" s="205"/>
      <c r="J402" s="205"/>
      <c r="K402" s="205"/>
      <c r="L402" s="205"/>
      <c r="M402" s="239"/>
      <c r="N402" s="235"/>
      <c r="O402" s="240"/>
      <c r="P402" s="238"/>
      <c r="Q402" s="240"/>
      <c r="R402" s="241"/>
      <c r="S402" s="240"/>
      <c r="T402" s="240"/>
      <c r="U402" s="66"/>
    </row>
    <row r="403" spans="2:21" x14ac:dyDescent="0.25">
      <c r="B403" s="66"/>
      <c r="C403" s="235"/>
      <c r="D403" s="236"/>
      <c r="E403" s="237"/>
      <c r="F403" s="238"/>
      <c r="G403" s="235"/>
      <c r="H403" s="235"/>
      <c r="I403" s="205"/>
      <c r="J403" s="205"/>
      <c r="K403" s="205"/>
      <c r="L403" s="205"/>
      <c r="M403" s="239"/>
      <c r="N403" s="235"/>
      <c r="O403" s="240"/>
      <c r="P403" s="238"/>
      <c r="Q403" s="240"/>
      <c r="R403" s="241"/>
      <c r="S403" s="240"/>
      <c r="T403" s="240"/>
      <c r="U403" s="66"/>
    </row>
    <row r="404" spans="2:21" x14ac:dyDescent="0.25">
      <c r="B404" s="66"/>
      <c r="C404" s="235"/>
      <c r="D404" s="236"/>
      <c r="E404" s="237"/>
      <c r="F404" s="238"/>
      <c r="G404" s="235"/>
      <c r="H404" s="235"/>
      <c r="I404" s="205"/>
      <c r="J404" s="205"/>
      <c r="K404" s="205"/>
      <c r="L404" s="205"/>
      <c r="M404" s="239"/>
      <c r="N404" s="235"/>
      <c r="O404" s="240"/>
      <c r="P404" s="238"/>
      <c r="Q404" s="240"/>
      <c r="R404" s="241"/>
      <c r="S404" s="240"/>
      <c r="T404" s="240"/>
      <c r="U404" s="66"/>
    </row>
    <row r="405" spans="2:21" x14ac:dyDescent="0.25">
      <c r="B405" s="66"/>
      <c r="C405" s="235"/>
      <c r="D405" s="236"/>
      <c r="E405" s="237"/>
      <c r="F405" s="238"/>
      <c r="G405" s="235"/>
      <c r="H405" s="235"/>
      <c r="I405" s="205"/>
      <c r="J405" s="205"/>
      <c r="K405" s="205"/>
      <c r="L405" s="205"/>
      <c r="M405" s="239"/>
      <c r="N405" s="235"/>
      <c r="O405" s="240"/>
      <c r="P405" s="238"/>
      <c r="Q405" s="240"/>
      <c r="R405" s="241"/>
      <c r="S405" s="240"/>
      <c r="T405" s="240"/>
      <c r="U405" s="66"/>
    </row>
    <row r="406" spans="2:21" x14ac:dyDescent="0.25">
      <c r="B406" s="66"/>
      <c r="C406" s="235"/>
      <c r="D406" s="236"/>
      <c r="E406" s="237"/>
      <c r="F406" s="238"/>
      <c r="G406" s="235"/>
      <c r="H406" s="235"/>
      <c r="I406" s="205"/>
      <c r="J406" s="205"/>
      <c r="K406" s="205"/>
      <c r="L406" s="205"/>
      <c r="M406" s="239"/>
      <c r="N406" s="235"/>
      <c r="O406" s="240"/>
      <c r="P406" s="238"/>
      <c r="Q406" s="240"/>
      <c r="R406" s="241"/>
      <c r="S406" s="240"/>
      <c r="T406" s="240"/>
      <c r="U406" s="66"/>
    </row>
    <row r="407" spans="2:21" x14ac:dyDescent="0.25">
      <c r="B407" s="66"/>
      <c r="C407" s="235"/>
      <c r="D407" s="236"/>
      <c r="E407" s="237"/>
      <c r="F407" s="238"/>
      <c r="G407" s="235"/>
      <c r="H407" s="235"/>
      <c r="I407" s="205"/>
      <c r="J407" s="205"/>
      <c r="K407" s="205"/>
      <c r="L407" s="205"/>
      <c r="M407" s="239"/>
      <c r="N407" s="235"/>
      <c r="O407" s="240"/>
      <c r="P407" s="238"/>
      <c r="Q407" s="240"/>
      <c r="R407" s="241"/>
      <c r="S407" s="240"/>
      <c r="T407" s="240"/>
      <c r="U407" s="66"/>
    </row>
    <row r="408" spans="2:21" x14ac:dyDescent="0.25">
      <c r="B408" s="66"/>
      <c r="C408" s="235"/>
      <c r="D408" s="236"/>
      <c r="E408" s="237"/>
      <c r="F408" s="238"/>
      <c r="G408" s="235"/>
      <c r="H408" s="235"/>
      <c r="I408" s="205"/>
      <c r="J408" s="205"/>
      <c r="K408" s="205"/>
      <c r="L408" s="205"/>
      <c r="M408" s="239"/>
      <c r="N408" s="235"/>
      <c r="O408" s="240"/>
      <c r="P408" s="238"/>
      <c r="Q408" s="240"/>
      <c r="R408" s="241"/>
      <c r="S408" s="240"/>
      <c r="T408" s="240"/>
      <c r="U408" s="66"/>
    </row>
    <row r="409" spans="2:21" x14ac:dyDescent="0.25">
      <c r="B409" s="66"/>
      <c r="C409" s="235"/>
      <c r="D409" s="236"/>
      <c r="E409" s="237"/>
      <c r="F409" s="238"/>
      <c r="G409" s="235"/>
      <c r="H409" s="235"/>
      <c r="I409" s="205"/>
      <c r="J409" s="205"/>
      <c r="K409" s="205"/>
      <c r="L409" s="205"/>
      <c r="M409" s="239"/>
      <c r="N409" s="235"/>
      <c r="O409" s="240"/>
      <c r="P409" s="238"/>
      <c r="Q409" s="240"/>
      <c r="R409" s="241"/>
      <c r="S409" s="240"/>
      <c r="T409" s="240"/>
      <c r="U409" s="66"/>
    </row>
    <row r="410" spans="2:21" x14ac:dyDescent="0.25">
      <c r="B410" s="66"/>
      <c r="C410" s="235"/>
      <c r="D410" s="236"/>
      <c r="E410" s="237"/>
      <c r="F410" s="238"/>
      <c r="G410" s="235"/>
      <c r="H410" s="235"/>
      <c r="I410" s="205"/>
      <c r="J410" s="205"/>
      <c r="K410" s="205"/>
      <c r="L410" s="205"/>
      <c r="M410" s="239"/>
      <c r="N410" s="235"/>
      <c r="O410" s="240"/>
      <c r="P410" s="238"/>
      <c r="Q410" s="240"/>
      <c r="R410" s="241"/>
      <c r="S410" s="240"/>
      <c r="T410" s="240"/>
      <c r="U410" s="66"/>
    </row>
    <row r="411" spans="2:21" x14ac:dyDescent="0.25">
      <c r="B411" s="66"/>
      <c r="C411" s="235"/>
      <c r="D411" s="236"/>
      <c r="E411" s="237"/>
      <c r="F411" s="238"/>
      <c r="G411" s="235"/>
      <c r="H411" s="235"/>
      <c r="I411" s="205"/>
      <c r="J411" s="205"/>
      <c r="K411" s="205"/>
      <c r="L411" s="205"/>
      <c r="M411" s="239"/>
      <c r="N411" s="235"/>
      <c r="O411" s="240"/>
      <c r="P411" s="238"/>
      <c r="Q411" s="240"/>
      <c r="R411" s="241"/>
      <c r="S411" s="240"/>
      <c r="T411" s="240"/>
      <c r="U411" s="66"/>
    </row>
    <row r="412" spans="2:21" x14ac:dyDescent="0.25">
      <c r="B412" s="66"/>
      <c r="C412" s="235"/>
      <c r="D412" s="236"/>
      <c r="E412" s="237"/>
      <c r="F412" s="238"/>
      <c r="G412" s="235"/>
      <c r="H412" s="235"/>
      <c r="I412" s="205"/>
      <c r="J412" s="205"/>
      <c r="K412" s="205"/>
      <c r="L412" s="205"/>
      <c r="M412" s="239"/>
      <c r="N412" s="235"/>
      <c r="O412" s="240"/>
      <c r="P412" s="238"/>
      <c r="Q412" s="240"/>
      <c r="R412" s="241"/>
      <c r="S412" s="240"/>
      <c r="T412" s="240"/>
      <c r="U412" s="66"/>
    </row>
    <row r="413" spans="2:21" x14ac:dyDescent="0.25">
      <c r="B413" s="66"/>
      <c r="C413" s="235"/>
      <c r="D413" s="236"/>
      <c r="E413" s="237"/>
      <c r="F413" s="238"/>
      <c r="G413" s="235"/>
      <c r="H413" s="235"/>
      <c r="I413" s="205"/>
      <c r="J413" s="205"/>
      <c r="K413" s="205"/>
      <c r="L413" s="205"/>
      <c r="M413" s="239"/>
      <c r="N413" s="235"/>
      <c r="O413" s="240"/>
      <c r="P413" s="238"/>
      <c r="Q413" s="240"/>
      <c r="R413" s="241"/>
      <c r="S413" s="240"/>
      <c r="T413" s="240"/>
      <c r="U413" s="66"/>
    </row>
    <row r="414" spans="2:21" x14ac:dyDescent="0.25">
      <c r="B414" s="66"/>
      <c r="C414" s="235"/>
      <c r="D414" s="236"/>
      <c r="E414" s="237"/>
      <c r="F414" s="238"/>
      <c r="G414" s="235"/>
      <c r="H414" s="235"/>
      <c r="I414" s="205"/>
      <c r="J414" s="205"/>
      <c r="K414" s="205"/>
      <c r="L414" s="205"/>
      <c r="M414" s="239"/>
      <c r="N414" s="235"/>
      <c r="O414" s="240"/>
      <c r="P414" s="238"/>
      <c r="Q414" s="240"/>
      <c r="R414" s="241"/>
      <c r="S414" s="240"/>
      <c r="T414" s="240"/>
      <c r="U414" s="66"/>
    </row>
    <row r="415" spans="2:21" x14ac:dyDescent="0.25">
      <c r="B415" s="66"/>
      <c r="C415" s="235"/>
      <c r="D415" s="236"/>
      <c r="E415" s="237"/>
      <c r="F415" s="238"/>
      <c r="G415" s="235"/>
      <c r="H415" s="235"/>
      <c r="I415" s="205"/>
      <c r="J415" s="205"/>
      <c r="K415" s="205"/>
      <c r="L415" s="205"/>
      <c r="M415" s="239"/>
      <c r="N415" s="235"/>
      <c r="O415" s="240"/>
      <c r="P415" s="238"/>
      <c r="Q415" s="240"/>
      <c r="R415" s="241"/>
      <c r="S415" s="240"/>
      <c r="T415" s="240"/>
      <c r="U415" s="66"/>
    </row>
    <row r="416" spans="2:21" x14ac:dyDescent="0.25">
      <c r="B416" s="66"/>
      <c r="C416" s="235"/>
      <c r="D416" s="236"/>
      <c r="E416" s="237"/>
      <c r="F416" s="238"/>
      <c r="G416" s="235"/>
      <c r="H416" s="235"/>
      <c r="I416" s="205"/>
      <c r="J416" s="205"/>
      <c r="K416" s="205"/>
      <c r="L416" s="205"/>
      <c r="M416" s="239"/>
      <c r="N416" s="235"/>
      <c r="O416" s="240"/>
      <c r="P416" s="238"/>
      <c r="Q416" s="240"/>
      <c r="R416" s="241"/>
      <c r="S416" s="240"/>
      <c r="T416" s="240"/>
      <c r="U416" s="66"/>
    </row>
    <row r="417" spans="2:21" x14ac:dyDescent="0.25">
      <c r="B417" s="66"/>
      <c r="C417" s="235"/>
      <c r="D417" s="236"/>
      <c r="E417" s="237"/>
      <c r="F417" s="238"/>
      <c r="G417" s="235"/>
      <c r="H417" s="235"/>
      <c r="I417" s="205"/>
      <c r="J417" s="205"/>
      <c r="K417" s="205"/>
      <c r="L417" s="205"/>
      <c r="M417" s="239"/>
      <c r="N417" s="235"/>
      <c r="O417" s="240"/>
      <c r="P417" s="238"/>
      <c r="Q417" s="240"/>
      <c r="R417" s="241"/>
      <c r="S417" s="240"/>
      <c r="T417" s="240"/>
      <c r="U417" s="66"/>
    </row>
    <row r="418" spans="2:21" x14ac:dyDescent="0.25">
      <c r="B418" s="66"/>
      <c r="C418" s="235"/>
      <c r="D418" s="236"/>
      <c r="E418" s="237"/>
      <c r="F418" s="238"/>
      <c r="G418" s="235"/>
      <c r="H418" s="235"/>
      <c r="I418" s="205"/>
      <c r="J418" s="205"/>
      <c r="K418" s="205"/>
      <c r="L418" s="205"/>
      <c r="M418" s="239"/>
      <c r="N418" s="235"/>
      <c r="O418" s="240"/>
      <c r="P418" s="238"/>
      <c r="Q418" s="240"/>
      <c r="R418" s="241"/>
      <c r="S418" s="240"/>
      <c r="T418" s="240"/>
      <c r="U418" s="66"/>
    </row>
    <row r="419" spans="2:21" x14ac:dyDescent="0.25">
      <c r="B419" s="66"/>
      <c r="C419" s="235"/>
      <c r="D419" s="236"/>
      <c r="E419" s="237"/>
      <c r="F419" s="238"/>
      <c r="G419" s="235"/>
      <c r="H419" s="235"/>
      <c r="I419" s="205"/>
      <c r="J419" s="205"/>
      <c r="K419" s="205"/>
      <c r="L419" s="205"/>
      <c r="M419" s="239"/>
      <c r="N419" s="235"/>
      <c r="O419" s="240"/>
      <c r="P419" s="238"/>
      <c r="Q419" s="240"/>
      <c r="R419" s="241"/>
      <c r="S419" s="240"/>
      <c r="T419" s="240"/>
      <c r="U419" s="66"/>
    </row>
    <row r="420" spans="2:21" x14ac:dyDescent="0.25">
      <c r="B420" s="66"/>
      <c r="C420" s="235"/>
      <c r="D420" s="236"/>
      <c r="E420" s="237"/>
      <c r="F420" s="238"/>
      <c r="G420" s="235"/>
      <c r="H420" s="235"/>
      <c r="I420" s="205"/>
      <c r="J420" s="205"/>
      <c r="K420" s="205"/>
      <c r="L420" s="205"/>
      <c r="M420" s="239"/>
      <c r="N420" s="235"/>
      <c r="O420" s="240"/>
      <c r="P420" s="238"/>
      <c r="Q420" s="240"/>
      <c r="R420" s="241"/>
      <c r="S420" s="240"/>
      <c r="T420" s="240"/>
      <c r="U420" s="66"/>
    </row>
    <row r="421" spans="2:21" x14ac:dyDescent="0.25">
      <c r="B421" s="66"/>
      <c r="C421" s="235"/>
      <c r="D421" s="236"/>
      <c r="E421" s="237"/>
      <c r="F421" s="238"/>
      <c r="G421" s="235"/>
      <c r="H421" s="235"/>
      <c r="I421" s="205"/>
      <c r="J421" s="205"/>
      <c r="K421" s="205"/>
      <c r="L421" s="205"/>
      <c r="M421" s="239"/>
      <c r="N421" s="235"/>
      <c r="O421" s="240"/>
      <c r="P421" s="238"/>
      <c r="Q421" s="240"/>
      <c r="R421" s="241"/>
      <c r="S421" s="240"/>
      <c r="T421" s="240"/>
      <c r="U421" s="66"/>
    </row>
    <row r="422" spans="2:21" x14ac:dyDescent="0.25">
      <c r="B422" s="66"/>
      <c r="C422" s="235"/>
      <c r="D422" s="236"/>
      <c r="E422" s="237"/>
      <c r="F422" s="238"/>
      <c r="G422" s="235"/>
      <c r="H422" s="235"/>
      <c r="I422" s="205"/>
      <c r="J422" s="205"/>
      <c r="K422" s="205"/>
      <c r="L422" s="205"/>
      <c r="M422" s="239"/>
      <c r="N422" s="235"/>
      <c r="O422" s="240"/>
      <c r="P422" s="238"/>
      <c r="Q422" s="240"/>
      <c r="R422" s="241"/>
      <c r="S422" s="240"/>
      <c r="T422" s="240"/>
      <c r="U422" s="66"/>
    </row>
    <row r="423" spans="2:21" x14ac:dyDescent="0.25">
      <c r="B423" s="66"/>
      <c r="C423" s="235"/>
      <c r="D423" s="236"/>
      <c r="E423" s="237"/>
      <c r="F423" s="238"/>
      <c r="G423" s="235"/>
      <c r="H423" s="235"/>
      <c r="I423" s="205"/>
      <c r="J423" s="205"/>
      <c r="K423" s="205"/>
      <c r="L423" s="205"/>
      <c r="M423" s="239"/>
      <c r="N423" s="235"/>
      <c r="O423" s="240"/>
      <c r="P423" s="238"/>
      <c r="Q423" s="240"/>
      <c r="R423" s="241"/>
      <c r="S423" s="240"/>
      <c r="T423" s="240"/>
      <c r="U423" s="66"/>
    </row>
    <row r="424" spans="2:21" x14ac:dyDescent="0.25">
      <c r="B424" s="66"/>
      <c r="C424" s="235"/>
      <c r="D424" s="236"/>
      <c r="E424" s="237"/>
      <c r="F424" s="238"/>
      <c r="G424" s="235"/>
      <c r="H424" s="235"/>
      <c r="I424" s="205"/>
      <c r="J424" s="205"/>
      <c r="K424" s="205"/>
      <c r="L424" s="205"/>
      <c r="M424" s="239"/>
      <c r="N424" s="235"/>
      <c r="O424" s="240"/>
      <c r="P424" s="238"/>
      <c r="Q424" s="240"/>
      <c r="R424" s="241"/>
      <c r="S424" s="240"/>
      <c r="T424" s="240"/>
      <c r="U424" s="66"/>
    </row>
    <row r="425" spans="2:21" x14ac:dyDescent="0.25">
      <c r="B425" s="66"/>
      <c r="C425" s="235"/>
      <c r="D425" s="236"/>
      <c r="E425" s="237"/>
      <c r="F425" s="238"/>
      <c r="G425" s="235"/>
      <c r="H425" s="235"/>
      <c r="I425" s="205"/>
      <c r="J425" s="205"/>
      <c r="K425" s="205"/>
      <c r="L425" s="205"/>
      <c r="M425" s="239"/>
      <c r="N425" s="235"/>
      <c r="O425" s="240"/>
      <c r="P425" s="238"/>
      <c r="Q425" s="240"/>
      <c r="R425" s="241"/>
      <c r="S425" s="240"/>
      <c r="T425" s="240"/>
      <c r="U425" s="66"/>
    </row>
    <row r="426" spans="2:21" x14ac:dyDescent="0.25">
      <c r="B426" s="66"/>
      <c r="C426" s="235"/>
      <c r="D426" s="236"/>
      <c r="E426" s="237"/>
      <c r="F426" s="238"/>
      <c r="G426" s="235"/>
      <c r="H426" s="235"/>
      <c r="I426" s="205"/>
      <c r="J426" s="205"/>
      <c r="K426" s="205"/>
      <c r="L426" s="205"/>
      <c r="M426" s="239"/>
      <c r="N426" s="235"/>
      <c r="O426" s="240"/>
      <c r="P426" s="238"/>
      <c r="Q426" s="240"/>
      <c r="R426" s="241"/>
      <c r="S426" s="240"/>
      <c r="T426" s="240"/>
      <c r="U426" s="66"/>
    </row>
    <row r="427" spans="2:21" x14ac:dyDescent="0.25">
      <c r="B427" s="66"/>
      <c r="C427" s="235"/>
      <c r="D427" s="236"/>
      <c r="E427" s="237"/>
      <c r="F427" s="238"/>
      <c r="G427" s="235"/>
      <c r="H427" s="235"/>
      <c r="I427" s="205"/>
      <c r="J427" s="205"/>
      <c r="K427" s="205"/>
      <c r="L427" s="205"/>
      <c r="M427" s="239"/>
      <c r="N427" s="235"/>
      <c r="O427" s="240"/>
      <c r="P427" s="238"/>
      <c r="Q427" s="240"/>
      <c r="R427" s="241"/>
      <c r="S427" s="240"/>
      <c r="T427" s="240"/>
      <c r="U427" s="66"/>
    </row>
    <row r="428" spans="2:21" x14ac:dyDescent="0.25">
      <c r="B428" s="66"/>
      <c r="C428" s="235"/>
      <c r="D428" s="236"/>
      <c r="E428" s="237"/>
      <c r="F428" s="238"/>
      <c r="G428" s="235"/>
      <c r="H428" s="235"/>
      <c r="I428" s="205"/>
      <c r="J428" s="205"/>
      <c r="K428" s="205"/>
      <c r="L428" s="205"/>
      <c r="M428" s="239"/>
      <c r="N428" s="235"/>
      <c r="O428" s="240"/>
      <c r="P428" s="238"/>
      <c r="Q428" s="240"/>
      <c r="R428" s="241"/>
      <c r="S428" s="240"/>
      <c r="T428" s="240"/>
      <c r="U428" s="66"/>
    </row>
    <row r="429" spans="2:21" x14ac:dyDescent="0.25">
      <c r="B429" s="66"/>
      <c r="C429" s="235"/>
      <c r="D429" s="236"/>
      <c r="E429" s="237"/>
      <c r="F429" s="238"/>
      <c r="G429" s="235"/>
      <c r="H429" s="235"/>
      <c r="I429" s="205"/>
      <c r="J429" s="205"/>
      <c r="K429" s="205"/>
      <c r="L429" s="205"/>
      <c r="M429" s="239"/>
      <c r="N429" s="235"/>
      <c r="O429" s="240"/>
      <c r="P429" s="238"/>
      <c r="Q429" s="240"/>
      <c r="R429" s="241"/>
      <c r="S429" s="240"/>
      <c r="T429" s="240"/>
      <c r="U429" s="66"/>
    </row>
    <row r="430" spans="2:21" x14ac:dyDescent="0.25">
      <c r="B430" s="66"/>
      <c r="C430" s="235"/>
      <c r="D430" s="236"/>
      <c r="E430" s="237"/>
      <c r="F430" s="238"/>
      <c r="G430" s="235"/>
      <c r="H430" s="235"/>
      <c r="I430" s="205"/>
      <c r="J430" s="205"/>
      <c r="K430" s="205"/>
      <c r="L430" s="205"/>
      <c r="M430" s="239"/>
      <c r="N430" s="235"/>
      <c r="O430" s="240"/>
      <c r="P430" s="238"/>
      <c r="Q430" s="240"/>
      <c r="R430" s="241"/>
      <c r="S430" s="240"/>
      <c r="T430" s="240"/>
      <c r="U430" s="66"/>
    </row>
    <row r="431" spans="2:21" x14ac:dyDescent="0.25">
      <c r="B431" s="66"/>
      <c r="C431" s="235"/>
      <c r="D431" s="236"/>
      <c r="E431" s="237"/>
      <c r="F431" s="238"/>
      <c r="G431" s="235"/>
      <c r="H431" s="235"/>
      <c r="I431" s="205"/>
      <c r="J431" s="205"/>
      <c r="K431" s="205"/>
      <c r="L431" s="205"/>
      <c r="M431" s="239"/>
      <c r="N431" s="235"/>
      <c r="O431" s="240"/>
      <c r="P431" s="238"/>
      <c r="Q431" s="240"/>
      <c r="R431" s="241"/>
      <c r="S431" s="240"/>
      <c r="T431" s="240"/>
      <c r="U431" s="66"/>
    </row>
    <row r="432" spans="2:21" x14ac:dyDescent="0.25">
      <c r="B432" s="66"/>
      <c r="C432" s="235"/>
      <c r="D432" s="236"/>
      <c r="E432" s="237"/>
      <c r="F432" s="238"/>
      <c r="G432" s="235"/>
      <c r="H432" s="235"/>
      <c r="I432" s="205"/>
      <c r="J432" s="205"/>
      <c r="K432" s="205"/>
      <c r="L432" s="205"/>
      <c r="M432" s="239"/>
      <c r="N432" s="235"/>
      <c r="O432" s="240"/>
      <c r="P432" s="238"/>
      <c r="Q432" s="240"/>
      <c r="R432" s="241"/>
      <c r="S432" s="240"/>
      <c r="T432" s="240"/>
      <c r="U432" s="66"/>
    </row>
    <row r="433" spans="2:21" x14ac:dyDescent="0.25">
      <c r="B433" s="66"/>
      <c r="C433" s="235"/>
      <c r="D433" s="236"/>
      <c r="E433" s="237"/>
      <c r="F433" s="238"/>
      <c r="G433" s="235"/>
      <c r="H433" s="235"/>
      <c r="I433" s="205"/>
      <c r="J433" s="205"/>
      <c r="K433" s="205"/>
      <c r="L433" s="205"/>
      <c r="M433" s="239"/>
      <c r="N433" s="235"/>
      <c r="O433" s="240"/>
      <c r="P433" s="238"/>
      <c r="Q433" s="240"/>
      <c r="R433" s="241"/>
      <c r="S433" s="240"/>
      <c r="T433" s="240"/>
      <c r="U433" s="66"/>
    </row>
    <row r="434" spans="2:21" x14ac:dyDescent="0.25">
      <c r="B434" s="66"/>
      <c r="C434" s="235"/>
      <c r="D434" s="236"/>
      <c r="E434" s="237"/>
      <c r="F434" s="238"/>
      <c r="G434" s="235"/>
      <c r="H434" s="235"/>
      <c r="I434" s="205"/>
      <c r="J434" s="205"/>
      <c r="K434" s="205"/>
      <c r="L434" s="205"/>
      <c r="M434" s="239"/>
      <c r="N434" s="235"/>
      <c r="O434" s="240"/>
      <c r="P434" s="238"/>
      <c r="Q434" s="240"/>
      <c r="R434" s="241"/>
      <c r="S434" s="240"/>
      <c r="T434" s="240"/>
      <c r="U434" s="66"/>
    </row>
    <row r="435" spans="2:21" x14ac:dyDescent="0.25">
      <c r="B435" s="66"/>
      <c r="C435" s="235"/>
      <c r="D435" s="236"/>
      <c r="E435" s="237"/>
      <c r="F435" s="238"/>
      <c r="G435" s="235"/>
      <c r="H435" s="235"/>
      <c r="I435" s="205"/>
      <c r="J435" s="205"/>
      <c r="K435" s="205"/>
      <c r="L435" s="205"/>
      <c r="M435" s="239"/>
      <c r="N435" s="235"/>
      <c r="O435" s="240"/>
      <c r="P435" s="238"/>
      <c r="Q435" s="240"/>
      <c r="R435" s="241"/>
      <c r="S435" s="240"/>
      <c r="T435" s="240"/>
      <c r="U435" s="66"/>
    </row>
    <row r="436" spans="2:21" x14ac:dyDescent="0.25">
      <c r="B436" s="66"/>
      <c r="C436" s="235"/>
      <c r="D436" s="236"/>
      <c r="E436" s="237"/>
      <c r="F436" s="238"/>
      <c r="G436" s="235"/>
      <c r="H436" s="235"/>
      <c r="I436" s="205"/>
      <c r="J436" s="205"/>
      <c r="K436" s="205"/>
      <c r="L436" s="205"/>
      <c r="M436" s="239"/>
      <c r="N436" s="235"/>
      <c r="O436" s="240"/>
      <c r="P436" s="238"/>
      <c r="Q436" s="240"/>
      <c r="R436" s="241"/>
      <c r="S436" s="240"/>
      <c r="T436" s="240"/>
      <c r="U436" s="66"/>
    </row>
    <row r="437" spans="2:21" x14ac:dyDescent="0.25">
      <c r="B437" s="66"/>
      <c r="C437" s="235"/>
      <c r="D437" s="236"/>
      <c r="E437" s="237"/>
      <c r="F437" s="238"/>
      <c r="G437" s="235"/>
      <c r="H437" s="235"/>
      <c r="I437" s="205"/>
      <c r="J437" s="205"/>
      <c r="K437" s="205"/>
      <c r="L437" s="205"/>
      <c r="M437" s="239"/>
      <c r="N437" s="235"/>
      <c r="O437" s="240"/>
      <c r="P437" s="238"/>
      <c r="Q437" s="240"/>
      <c r="R437" s="241"/>
      <c r="S437" s="240"/>
      <c r="T437" s="240"/>
      <c r="U437" s="66"/>
    </row>
    <row r="438" spans="2:21" x14ac:dyDescent="0.25">
      <c r="B438" s="66"/>
      <c r="C438" s="235"/>
      <c r="D438" s="236"/>
      <c r="E438" s="237"/>
      <c r="F438" s="238"/>
      <c r="G438" s="235"/>
      <c r="H438" s="235"/>
      <c r="I438" s="205"/>
      <c r="J438" s="205"/>
      <c r="K438" s="205"/>
      <c r="L438" s="205"/>
      <c r="M438" s="239"/>
      <c r="N438" s="235"/>
      <c r="O438" s="240"/>
      <c r="P438" s="238"/>
      <c r="Q438" s="240"/>
      <c r="R438" s="241"/>
      <c r="S438" s="240"/>
      <c r="T438" s="240"/>
      <c r="U438" s="66"/>
    </row>
    <row r="439" spans="2:21" x14ac:dyDescent="0.25">
      <c r="B439" s="66"/>
      <c r="C439" s="235"/>
      <c r="D439" s="236"/>
      <c r="E439" s="237"/>
      <c r="F439" s="238"/>
      <c r="G439" s="235"/>
      <c r="H439" s="235"/>
      <c r="I439" s="205"/>
      <c r="J439" s="205"/>
      <c r="K439" s="205"/>
      <c r="L439" s="205"/>
      <c r="M439" s="239"/>
      <c r="N439" s="235"/>
      <c r="O439" s="240"/>
      <c r="P439" s="238"/>
      <c r="Q439" s="240"/>
      <c r="R439" s="241"/>
      <c r="S439" s="240"/>
      <c r="T439" s="240"/>
      <c r="U439" s="66"/>
    </row>
    <row r="440" spans="2:21" x14ac:dyDescent="0.25">
      <c r="B440" s="66"/>
      <c r="C440" s="235"/>
      <c r="D440" s="236"/>
      <c r="E440" s="237"/>
      <c r="F440" s="238"/>
      <c r="G440" s="235"/>
      <c r="H440" s="235"/>
      <c r="I440" s="205"/>
      <c r="J440" s="205"/>
      <c r="K440" s="205"/>
      <c r="L440" s="205"/>
      <c r="M440" s="239"/>
      <c r="N440" s="235"/>
      <c r="O440" s="240"/>
      <c r="P440" s="238"/>
      <c r="Q440" s="240"/>
      <c r="R440" s="241"/>
      <c r="S440" s="240"/>
      <c r="T440" s="240"/>
      <c r="U440" s="66"/>
    </row>
    <row r="441" spans="2:21" x14ac:dyDescent="0.25">
      <c r="B441" s="66"/>
      <c r="C441" s="235"/>
      <c r="D441" s="236"/>
      <c r="E441" s="237"/>
      <c r="F441" s="238"/>
      <c r="G441" s="235"/>
      <c r="H441" s="235"/>
      <c r="I441" s="205"/>
      <c r="J441" s="205"/>
      <c r="K441" s="205"/>
      <c r="L441" s="205"/>
      <c r="M441" s="239"/>
      <c r="N441" s="235"/>
      <c r="O441" s="240"/>
      <c r="P441" s="238"/>
      <c r="Q441" s="240"/>
      <c r="R441" s="241"/>
      <c r="S441" s="240"/>
      <c r="T441" s="240"/>
      <c r="U441" s="66"/>
    </row>
    <row r="442" spans="2:21" x14ac:dyDescent="0.25">
      <c r="B442" s="66"/>
      <c r="C442" s="235"/>
      <c r="D442" s="236"/>
      <c r="E442" s="237"/>
      <c r="F442" s="238"/>
      <c r="G442" s="235"/>
      <c r="H442" s="235"/>
      <c r="I442" s="205"/>
      <c r="J442" s="205"/>
      <c r="K442" s="205"/>
      <c r="L442" s="205"/>
      <c r="M442" s="239"/>
      <c r="N442" s="235"/>
      <c r="O442" s="240"/>
      <c r="P442" s="238"/>
      <c r="Q442" s="240"/>
      <c r="R442" s="241"/>
      <c r="S442" s="240"/>
      <c r="T442" s="240"/>
      <c r="U442" s="66"/>
    </row>
    <row r="443" spans="2:21" x14ac:dyDescent="0.25">
      <c r="B443" s="66"/>
      <c r="C443" s="235"/>
      <c r="D443" s="236"/>
      <c r="E443" s="237"/>
      <c r="F443" s="238"/>
      <c r="G443" s="235"/>
      <c r="H443" s="235"/>
      <c r="I443" s="205"/>
      <c r="J443" s="205"/>
      <c r="K443" s="205"/>
      <c r="L443" s="205"/>
      <c r="M443" s="239"/>
      <c r="N443" s="235"/>
      <c r="O443" s="240"/>
      <c r="P443" s="238"/>
      <c r="Q443" s="240"/>
      <c r="R443" s="241"/>
      <c r="S443" s="240"/>
      <c r="T443" s="240"/>
      <c r="U443" s="66"/>
    </row>
    <row r="444" spans="2:21" x14ac:dyDescent="0.25">
      <c r="B444" s="66"/>
      <c r="C444" s="235"/>
      <c r="D444" s="236"/>
      <c r="E444" s="237"/>
      <c r="F444" s="238"/>
      <c r="G444" s="235"/>
      <c r="H444" s="235"/>
      <c r="I444" s="205"/>
      <c r="J444" s="205"/>
      <c r="K444" s="205"/>
      <c r="L444" s="205"/>
      <c r="M444" s="239"/>
      <c r="N444" s="235"/>
      <c r="O444" s="240"/>
      <c r="P444" s="238"/>
      <c r="Q444" s="240"/>
      <c r="R444" s="241"/>
      <c r="S444" s="240"/>
      <c r="T444" s="240"/>
      <c r="U444" s="66"/>
    </row>
    <row r="445" spans="2:21" x14ac:dyDescent="0.25">
      <c r="B445" s="66"/>
      <c r="C445" s="235"/>
      <c r="D445" s="236"/>
      <c r="E445" s="237"/>
      <c r="F445" s="238"/>
      <c r="G445" s="235"/>
      <c r="H445" s="235"/>
      <c r="I445" s="205"/>
      <c r="J445" s="205"/>
      <c r="K445" s="205"/>
      <c r="L445" s="205"/>
      <c r="M445" s="239"/>
      <c r="N445" s="235"/>
      <c r="O445" s="240"/>
      <c r="P445" s="238"/>
      <c r="Q445" s="240"/>
      <c r="R445" s="241"/>
      <c r="S445" s="240"/>
      <c r="T445" s="240"/>
      <c r="U445" s="66"/>
    </row>
    <row r="446" spans="2:21" x14ac:dyDescent="0.25">
      <c r="B446" s="66"/>
      <c r="C446" s="235"/>
      <c r="D446" s="236"/>
      <c r="E446" s="237"/>
      <c r="F446" s="238"/>
      <c r="G446" s="235"/>
      <c r="H446" s="235"/>
      <c r="I446" s="205"/>
      <c r="J446" s="205"/>
      <c r="K446" s="205"/>
      <c r="L446" s="205"/>
      <c r="M446" s="239"/>
      <c r="N446" s="235"/>
      <c r="O446" s="240"/>
      <c r="P446" s="238"/>
      <c r="Q446" s="240"/>
      <c r="R446" s="241"/>
      <c r="S446" s="240"/>
      <c r="T446" s="240"/>
      <c r="U446" s="66"/>
    </row>
    <row r="447" spans="2:21" x14ac:dyDescent="0.25">
      <c r="B447" s="66"/>
      <c r="C447" s="235"/>
      <c r="D447" s="236"/>
      <c r="E447" s="237"/>
      <c r="F447" s="238"/>
      <c r="G447" s="235"/>
      <c r="H447" s="235"/>
      <c r="I447" s="205"/>
      <c r="J447" s="205"/>
      <c r="K447" s="205"/>
      <c r="L447" s="205"/>
      <c r="M447" s="239"/>
      <c r="N447" s="235"/>
      <c r="O447" s="240"/>
      <c r="P447" s="238"/>
      <c r="Q447" s="240"/>
      <c r="R447" s="241"/>
      <c r="S447" s="240"/>
      <c r="T447" s="240"/>
      <c r="U447" s="66"/>
    </row>
    <row r="448" spans="2:21" x14ac:dyDescent="0.25">
      <c r="B448" s="66"/>
      <c r="C448" s="235"/>
      <c r="D448" s="236"/>
      <c r="E448" s="237"/>
      <c r="F448" s="238"/>
      <c r="G448" s="235"/>
      <c r="H448" s="235"/>
      <c r="I448" s="205"/>
      <c r="J448" s="205"/>
      <c r="K448" s="205"/>
      <c r="L448" s="205"/>
      <c r="M448" s="239"/>
      <c r="N448" s="235"/>
      <c r="O448" s="240"/>
      <c r="P448" s="238"/>
      <c r="Q448" s="240"/>
      <c r="R448" s="241"/>
      <c r="S448" s="240"/>
      <c r="T448" s="240"/>
      <c r="U448" s="66"/>
    </row>
    <row r="449" spans="2:21" x14ac:dyDescent="0.25">
      <c r="B449" s="66"/>
      <c r="C449" s="235"/>
      <c r="D449" s="236"/>
      <c r="E449" s="237"/>
      <c r="F449" s="238"/>
      <c r="G449" s="235"/>
      <c r="H449" s="235"/>
      <c r="I449" s="205"/>
      <c r="J449" s="205"/>
      <c r="K449" s="205"/>
      <c r="L449" s="205"/>
      <c r="M449" s="239"/>
      <c r="N449" s="235"/>
      <c r="O449" s="240"/>
      <c r="P449" s="238"/>
      <c r="Q449" s="240"/>
      <c r="R449" s="241"/>
      <c r="S449" s="240"/>
      <c r="T449" s="240"/>
      <c r="U449" s="66"/>
    </row>
    <row r="450" spans="2:21" x14ac:dyDescent="0.25">
      <c r="B450" s="66"/>
      <c r="C450" s="235"/>
      <c r="D450" s="236"/>
      <c r="E450" s="237"/>
      <c r="F450" s="238"/>
      <c r="G450" s="235"/>
      <c r="H450" s="235"/>
      <c r="I450" s="205"/>
      <c r="J450" s="205"/>
      <c r="K450" s="205"/>
      <c r="L450" s="205"/>
      <c r="M450" s="239"/>
      <c r="N450" s="235"/>
      <c r="O450" s="240"/>
      <c r="P450" s="238"/>
      <c r="Q450" s="240"/>
      <c r="R450" s="241"/>
      <c r="S450" s="240"/>
      <c r="T450" s="240"/>
      <c r="U450" s="66"/>
    </row>
    <row r="451" spans="2:21" x14ac:dyDescent="0.25">
      <c r="B451" s="66"/>
      <c r="C451" s="235"/>
      <c r="D451" s="236"/>
      <c r="E451" s="237"/>
      <c r="F451" s="238"/>
      <c r="G451" s="235"/>
      <c r="H451" s="235"/>
      <c r="I451" s="205"/>
      <c r="J451" s="205"/>
      <c r="K451" s="205"/>
      <c r="L451" s="205"/>
      <c r="M451" s="239"/>
      <c r="N451" s="235"/>
      <c r="O451" s="240"/>
      <c r="P451" s="238"/>
      <c r="Q451" s="240"/>
      <c r="R451" s="241"/>
      <c r="S451" s="240"/>
      <c r="T451" s="240"/>
      <c r="U451" s="66"/>
    </row>
    <row r="452" spans="2:21" x14ac:dyDescent="0.25">
      <c r="B452" s="66"/>
      <c r="C452" s="235"/>
      <c r="D452" s="236"/>
      <c r="E452" s="237"/>
      <c r="F452" s="238"/>
      <c r="G452" s="235"/>
      <c r="H452" s="235"/>
      <c r="I452" s="205"/>
      <c r="J452" s="205"/>
      <c r="K452" s="205"/>
      <c r="L452" s="205"/>
      <c r="M452" s="239"/>
      <c r="N452" s="235"/>
      <c r="O452" s="240"/>
      <c r="P452" s="238"/>
      <c r="Q452" s="240"/>
      <c r="R452" s="241"/>
      <c r="S452" s="240"/>
      <c r="T452" s="240"/>
      <c r="U452" s="66"/>
    </row>
    <row r="453" spans="2:21" x14ac:dyDescent="0.25">
      <c r="B453" s="66"/>
      <c r="C453" s="235"/>
      <c r="D453" s="236"/>
      <c r="E453" s="237"/>
      <c r="F453" s="238"/>
      <c r="G453" s="235"/>
      <c r="H453" s="235"/>
      <c r="I453" s="205"/>
      <c r="J453" s="205"/>
      <c r="K453" s="205"/>
      <c r="L453" s="205"/>
      <c r="M453" s="239"/>
      <c r="N453" s="235"/>
      <c r="O453" s="240"/>
      <c r="P453" s="238"/>
      <c r="Q453" s="240"/>
      <c r="R453" s="241"/>
      <c r="S453" s="240"/>
      <c r="T453" s="240"/>
      <c r="U453" s="66"/>
    </row>
    <row r="454" spans="2:21" x14ac:dyDescent="0.25">
      <c r="B454" s="66"/>
      <c r="C454" s="235"/>
      <c r="D454" s="236"/>
      <c r="E454" s="237"/>
      <c r="F454" s="238"/>
      <c r="G454" s="235"/>
      <c r="H454" s="235"/>
      <c r="I454" s="205"/>
      <c r="J454" s="205"/>
      <c r="K454" s="205"/>
      <c r="L454" s="205"/>
      <c r="M454" s="239"/>
      <c r="N454" s="235"/>
      <c r="O454" s="240"/>
      <c r="P454" s="238"/>
      <c r="Q454" s="240"/>
      <c r="R454" s="241"/>
      <c r="S454" s="240"/>
      <c r="T454" s="240"/>
      <c r="U454" s="66"/>
    </row>
    <row r="455" spans="2:21" x14ac:dyDescent="0.25">
      <c r="B455" s="66"/>
      <c r="C455" s="235"/>
      <c r="D455" s="236"/>
      <c r="E455" s="237"/>
      <c r="F455" s="238"/>
      <c r="G455" s="235"/>
      <c r="H455" s="235"/>
      <c r="I455" s="205"/>
      <c r="J455" s="205"/>
      <c r="K455" s="205"/>
      <c r="L455" s="205"/>
      <c r="M455" s="239"/>
      <c r="N455" s="235"/>
      <c r="O455" s="240"/>
      <c r="P455" s="238"/>
      <c r="Q455" s="240"/>
      <c r="R455" s="241"/>
      <c r="S455" s="240"/>
      <c r="T455" s="240"/>
      <c r="U455" s="66"/>
    </row>
    <row r="456" spans="2:21" x14ac:dyDescent="0.25">
      <c r="B456" s="66"/>
      <c r="C456" s="235"/>
      <c r="D456" s="236"/>
      <c r="E456" s="237"/>
      <c r="F456" s="238"/>
      <c r="G456" s="235"/>
      <c r="H456" s="235"/>
      <c r="I456" s="205"/>
      <c r="J456" s="205"/>
      <c r="K456" s="205"/>
      <c r="L456" s="205"/>
      <c r="M456" s="239"/>
      <c r="N456" s="235"/>
      <c r="O456" s="240"/>
      <c r="P456" s="238"/>
      <c r="Q456" s="240"/>
      <c r="R456" s="241"/>
      <c r="S456" s="240"/>
      <c r="T456" s="240"/>
      <c r="U456" s="66"/>
    </row>
    <row r="457" spans="2:21" x14ac:dyDescent="0.25">
      <c r="B457" s="66"/>
      <c r="C457" s="235"/>
      <c r="D457" s="236"/>
      <c r="E457" s="237"/>
      <c r="F457" s="238"/>
      <c r="G457" s="235"/>
      <c r="H457" s="235"/>
      <c r="I457" s="205"/>
      <c r="J457" s="205"/>
      <c r="K457" s="205"/>
      <c r="L457" s="205"/>
      <c r="M457" s="239"/>
      <c r="N457" s="235"/>
      <c r="O457" s="240"/>
      <c r="P457" s="238"/>
      <c r="Q457" s="240"/>
      <c r="R457" s="241"/>
      <c r="S457" s="240"/>
      <c r="T457" s="240"/>
      <c r="U457" s="66"/>
    </row>
    <row r="458" spans="2:21" x14ac:dyDescent="0.25">
      <c r="B458" s="66"/>
      <c r="C458" s="235"/>
      <c r="D458" s="236"/>
      <c r="E458" s="237"/>
      <c r="F458" s="238"/>
      <c r="G458" s="235"/>
      <c r="H458" s="235"/>
      <c r="I458" s="205"/>
      <c r="J458" s="205"/>
      <c r="K458" s="205"/>
      <c r="L458" s="205"/>
      <c r="M458" s="239"/>
      <c r="N458" s="235"/>
      <c r="O458" s="240"/>
      <c r="P458" s="238"/>
      <c r="Q458" s="240"/>
      <c r="R458" s="241"/>
      <c r="S458" s="240"/>
      <c r="T458" s="240"/>
      <c r="U458" s="66"/>
    </row>
    <row r="459" spans="2:21" x14ac:dyDescent="0.25">
      <c r="B459" s="66"/>
      <c r="C459" s="235"/>
      <c r="D459" s="236"/>
      <c r="E459" s="237"/>
      <c r="F459" s="238"/>
      <c r="G459" s="235"/>
      <c r="H459" s="235"/>
      <c r="I459" s="205"/>
      <c r="J459" s="205"/>
      <c r="K459" s="205"/>
      <c r="L459" s="205"/>
      <c r="M459" s="239"/>
      <c r="N459" s="235"/>
      <c r="O459" s="240"/>
      <c r="P459" s="238"/>
      <c r="Q459" s="240"/>
      <c r="R459" s="241"/>
      <c r="S459" s="240"/>
      <c r="T459" s="240"/>
      <c r="U459" s="66"/>
    </row>
    <row r="460" spans="2:21" x14ac:dyDescent="0.25">
      <c r="B460" s="66"/>
      <c r="C460" s="235"/>
      <c r="D460" s="236"/>
      <c r="E460" s="237"/>
      <c r="F460" s="238"/>
      <c r="G460" s="235"/>
      <c r="H460" s="235"/>
      <c r="I460" s="205"/>
      <c r="J460" s="205"/>
      <c r="K460" s="205"/>
      <c r="L460" s="205"/>
      <c r="M460" s="239"/>
      <c r="N460" s="235"/>
      <c r="O460" s="240"/>
      <c r="P460" s="238"/>
      <c r="Q460" s="240"/>
      <c r="R460" s="241"/>
      <c r="S460" s="240"/>
      <c r="T460" s="240"/>
      <c r="U460" s="66"/>
    </row>
    <row r="461" spans="2:21" x14ac:dyDescent="0.25">
      <c r="B461" s="66"/>
      <c r="C461" s="235"/>
      <c r="D461" s="236"/>
      <c r="E461" s="237"/>
      <c r="F461" s="238"/>
      <c r="G461" s="235"/>
      <c r="H461" s="235"/>
      <c r="I461" s="205"/>
      <c r="J461" s="205"/>
      <c r="K461" s="205"/>
      <c r="L461" s="205"/>
      <c r="M461" s="239"/>
      <c r="N461" s="235"/>
      <c r="O461" s="240"/>
      <c r="P461" s="238"/>
      <c r="Q461" s="240"/>
      <c r="R461" s="241"/>
      <c r="S461" s="240"/>
      <c r="T461" s="240"/>
      <c r="U461" s="66"/>
    </row>
    <row r="462" spans="2:21" x14ac:dyDescent="0.25">
      <c r="B462" s="66"/>
      <c r="C462" s="235"/>
      <c r="D462" s="236"/>
      <c r="E462" s="237"/>
      <c r="F462" s="238"/>
      <c r="G462" s="235"/>
      <c r="H462" s="235"/>
      <c r="I462" s="205"/>
      <c r="J462" s="205"/>
      <c r="K462" s="205"/>
      <c r="L462" s="205"/>
      <c r="M462" s="239"/>
      <c r="N462" s="235"/>
      <c r="O462" s="240"/>
      <c r="P462" s="238"/>
      <c r="Q462" s="240"/>
      <c r="R462" s="241"/>
      <c r="S462" s="240"/>
      <c r="T462" s="240"/>
      <c r="U462" s="66"/>
    </row>
    <row r="463" spans="2:21" x14ac:dyDescent="0.25">
      <c r="B463" s="66"/>
      <c r="C463" s="235"/>
      <c r="D463" s="236"/>
      <c r="E463" s="237"/>
      <c r="F463" s="238"/>
      <c r="G463" s="235"/>
      <c r="H463" s="235"/>
      <c r="I463" s="205"/>
      <c r="J463" s="205"/>
      <c r="K463" s="205"/>
      <c r="L463" s="205"/>
      <c r="M463" s="239"/>
      <c r="N463" s="235"/>
      <c r="O463" s="240"/>
      <c r="P463" s="238"/>
      <c r="Q463" s="240"/>
      <c r="R463" s="241"/>
      <c r="S463" s="240"/>
      <c r="T463" s="240"/>
      <c r="U463" s="66"/>
    </row>
    <row r="464" spans="2:21" x14ac:dyDescent="0.25">
      <c r="B464" s="66"/>
      <c r="C464" s="235"/>
      <c r="D464" s="236"/>
      <c r="E464" s="237"/>
      <c r="F464" s="238"/>
      <c r="G464" s="235"/>
      <c r="H464" s="235"/>
      <c r="I464" s="205"/>
      <c r="J464" s="205"/>
      <c r="K464" s="205"/>
      <c r="L464" s="205"/>
      <c r="M464" s="239"/>
      <c r="N464" s="235"/>
      <c r="O464" s="240"/>
      <c r="P464" s="238"/>
      <c r="Q464" s="240"/>
      <c r="R464" s="241"/>
      <c r="S464" s="240"/>
      <c r="T464" s="240"/>
      <c r="U464" s="66"/>
    </row>
    <row r="465" spans="2:21" x14ac:dyDescent="0.25">
      <c r="B465" s="66"/>
      <c r="C465" s="235"/>
      <c r="D465" s="236"/>
      <c r="E465" s="237"/>
      <c r="F465" s="238"/>
      <c r="G465" s="235"/>
      <c r="H465" s="235"/>
      <c r="I465" s="205"/>
      <c r="J465" s="205"/>
      <c r="K465" s="205"/>
      <c r="L465" s="205"/>
      <c r="M465" s="239"/>
      <c r="N465" s="235"/>
      <c r="O465" s="240"/>
      <c r="P465" s="238"/>
      <c r="Q465" s="240"/>
      <c r="R465" s="241"/>
      <c r="S465" s="240"/>
      <c r="T465" s="240"/>
      <c r="U465" s="66"/>
    </row>
    <row r="466" spans="2:21" x14ac:dyDescent="0.25">
      <c r="B466" s="66"/>
      <c r="C466" s="235"/>
      <c r="D466" s="236"/>
      <c r="E466" s="237"/>
      <c r="F466" s="238"/>
      <c r="G466" s="235"/>
      <c r="H466" s="235"/>
      <c r="I466" s="205"/>
      <c r="J466" s="205"/>
      <c r="K466" s="205"/>
      <c r="L466" s="205"/>
      <c r="M466" s="239"/>
      <c r="N466" s="235"/>
      <c r="O466" s="240"/>
      <c r="P466" s="238"/>
      <c r="Q466" s="240"/>
      <c r="R466" s="241"/>
      <c r="S466" s="240"/>
      <c r="T466" s="240"/>
      <c r="U466" s="66"/>
    </row>
    <row r="467" spans="2:21" x14ac:dyDescent="0.25">
      <c r="B467" s="66"/>
      <c r="C467" s="235"/>
      <c r="D467" s="236"/>
      <c r="E467" s="237"/>
      <c r="F467" s="238"/>
      <c r="G467" s="235"/>
      <c r="H467" s="235"/>
      <c r="I467" s="205"/>
      <c r="J467" s="205"/>
      <c r="K467" s="205"/>
      <c r="L467" s="205"/>
      <c r="M467" s="239"/>
      <c r="N467" s="235"/>
      <c r="O467" s="240"/>
      <c r="P467" s="238"/>
      <c r="Q467" s="240"/>
      <c r="R467" s="241"/>
      <c r="S467" s="240"/>
      <c r="T467" s="240"/>
      <c r="U467" s="66"/>
    </row>
    <row r="468" spans="2:21" x14ac:dyDescent="0.25">
      <c r="B468" s="66"/>
      <c r="C468" s="235"/>
      <c r="D468" s="236"/>
      <c r="E468" s="237"/>
      <c r="F468" s="238"/>
      <c r="G468" s="235"/>
      <c r="H468" s="235"/>
      <c r="I468" s="205"/>
      <c r="J468" s="205"/>
      <c r="K468" s="205"/>
      <c r="L468" s="205"/>
      <c r="M468" s="239"/>
      <c r="N468" s="235"/>
      <c r="O468" s="240"/>
      <c r="P468" s="238"/>
      <c r="Q468" s="240"/>
      <c r="R468" s="241"/>
      <c r="S468" s="240"/>
      <c r="T468" s="240"/>
      <c r="U468" s="66"/>
    </row>
    <row r="469" spans="2:21" x14ac:dyDescent="0.25">
      <c r="B469" s="66"/>
      <c r="C469" s="235"/>
      <c r="D469" s="236"/>
      <c r="E469" s="237"/>
      <c r="F469" s="238"/>
      <c r="G469" s="235"/>
      <c r="H469" s="235"/>
      <c r="I469" s="205"/>
      <c r="J469" s="205"/>
      <c r="K469" s="205"/>
      <c r="L469" s="205"/>
      <c r="M469" s="239"/>
      <c r="N469" s="235"/>
      <c r="O469" s="240"/>
      <c r="P469" s="238"/>
      <c r="Q469" s="240"/>
      <c r="R469" s="241"/>
      <c r="S469" s="240"/>
      <c r="T469" s="240"/>
      <c r="U469" s="66"/>
    </row>
    <row r="470" spans="2:21" x14ac:dyDescent="0.25">
      <c r="B470" s="66"/>
      <c r="C470" s="235"/>
      <c r="D470" s="236"/>
      <c r="E470" s="237"/>
      <c r="F470" s="238"/>
      <c r="G470" s="235"/>
      <c r="H470" s="235"/>
      <c r="I470" s="205"/>
      <c r="J470" s="205"/>
      <c r="K470" s="205"/>
      <c r="L470" s="205"/>
      <c r="M470" s="239"/>
      <c r="N470" s="235"/>
      <c r="O470" s="240"/>
      <c r="P470" s="238"/>
      <c r="Q470" s="240"/>
      <c r="R470" s="241"/>
      <c r="S470" s="240"/>
      <c r="T470" s="240"/>
      <c r="U470" s="66"/>
    </row>
    <row r="471" spans="2:21" x14ac:dyDescent="0.25">
      <c r="B471" s="66"/>
      <c r="C471" s="235"/>
      <c r="D471" s="236"/>
      <c r="E471" s="237"/>
      <c r="F471" s="238"/>
      <c r="G471" s="235"/>
      <c r="H471" s="235"/>
      <c r="I471" s="205"/>
      <c r="J471" s="205"/>
      <c r="K471" s="205"/>
      <c r="L471" s="205"/>
      <c r="M471" s="239"/>
      <c r="N471" s="235"/>
      <c r="O471" s="240"/>
      <c r="P471" s="238"/>
      <c r="Q471" s="240"/>
      <c r="R471" s="241"/>
      <c r="S471" s="240"/>
      <c r="T471" s="240"/>
      <c r="U471" s="66"/>
    </row>
    <row r="472" spans="2:21" x14ac:dyDescent="0.25">
      <c r="B472" s="66"/>
      <c r="C472" s="235"/>
      <c r="D472" s="236"/>
      <c r="E472" s="237"/>
      <c r="F472" s="238"/>
      <c r="G472" s="235"/>
      <c r="H472" s="235"/>
      <c r="I472" s="205"/>
      <c r="J472" s="205"/>
      <c r="K472" s="205"/>
      <c r="L472" s="205"/>
      <c r="M472" s="239"/>
      <c r="N472" s="235"/>
      <c r="O472" s="240"/>
      <c r="P472" s="238"/>
      <c r="Q472" s="240"/>
      <c r="R472" s="241"/>
      <c r="S472" s="240"/>
      <c r="T472" s="240"/>
      <c r="U472" s="66"/>
    </row>
    <row r="473" spans="2:21" x14ac:dyDescent="0.25">
      <c r="B473" s="66"/>
      <c r="C473" s="235"/>
      <c r="D473" s="236"/>
      <c r="E473" s="237"/>
      <c r="F473" s="238"/>
      <c r="G473" s="235"/>
      <c r="H473" s="235"/>
      <c r="I473" s="205"/>
      <c r="J473" s="205"/>
      <c r="K473" s="205"/>
      <c r="L473" s="205"/>
      <c r="M473" s="239"/>
      <c r="N473" s="235"/>
      <c r="O473" s="240"/>
      <c r="P473" s="238"/>
      <c r="Q473" s="240"/>
      <c r="R473" s="241"/>
      <c r="S473" s="240"/>
      <c r="T473" s="240"/>
      <c r="U473" s="66"/>
    </row>
    <row r="474" spans="2:21" x14ac:dyDescent="0.25">
      <c r="B474" s="66"/>
      <c r="C474" s="235"/>
      <c r="D474" s="236"/>
      <c r="E474" s="237"/>
      <c r="F474" s="238"/>
      <c r="G474" s="235"/>
      <c r="H474" s="235"/>
      <c r="I474" s="205"/>
      <c r="J474" s="205"/>
      <c r="K474" s="205"/>
      <c r="L474" s="205"/>
      <c r="M474" s="239"/>
      <c r="N474" s="235"/>
      <c r="O474" s="240"/>
      <c r="P474" s="238"/>
      <c r="Q474" s="240"/>
      <c r="R474" s="241"/>
      <c r="S474" s="240"/>
      <c r="T474" s="240"/>
      <c r="U474" s="66"/>
    </row>
    <row r="475" spans="2:21" x14ac:dyDescent="0.25">
      <c r="B475" s="66"/>
      <c r="C475" s="235"/>
      <c r="D475" s="236"/>
      <c r="E475" s="237"/>
      <c r="F475" s="238"/>
      <c r="G475" s="235"/>
      <c r="H475" s="235"/>
      <c r="I475" s="205"/>
      <c r="J475" s="205"/>
      <c r="K475" s="205"/>
      <c r="L475" s="205"/>
      <c r="M475" s="239"/>
      <c r="N475" s="235"/>
      <c r="O475" s="240"/>
      <c r="P475" s="238"/>
      <c r="Q475" s="240"/>
      <c r="R475" s="241"/>
      <c r="S475" s="240"/>
      <c r="T475" s="240"/>
      <c r="U475" s="66"/>
    </row>
    <row r="476" spans="2:21" x14ac:dyDescent="0.25">
      <c r="B476" s="66"/>
      <c r="C476" s="235"/>
      <c r="D476" s="236"/>
      <c r="E476" s="237"/>
      <c r="F476" s="238"/>
      <c r="G476" s="235"/>
      <c r="H476" s="235"/>
      <c r="I476" s="205"/>
      <c r="J476" s="205"/>
      <c r="K476" s="205"/>
      <c r="L476" s="205"/>
      <c r="M476" s="239"/>
      <c r="N476" s="235"/>
      <c r="O476" s="240"/>
      <c r="P476" s="238"/>
      <c r="Q476" s="240"/>
      <c r="R476" s="241"/>
      <c r="S476" s="240"/>
      <c r="T476" s="240"/>
      <c r="U476" s="66"/>
    </row>
    <row r="477" spans="2:21" x14ac:dyDescent="0.25">
      <c r="B477" s="66"/>
      <c r="C477" s="235"/>
      <c r="D477" s="236"/>
      <c r="E477" s="237"/>
      <c r="F477" s="238"/>
      <c r="G477" s="235"/>
      <c r="H477" s="235"/>
      <c r="I477" s="205"/>
      <c r="J477" s="205"/>
      <c r="K477" s="205"/>
      <c r="L477" s="205"/>
      <c r="M477" s="239"/>
      <c r="N477" s="235"/>
      <c r="O477" s="240"/>
      <c r="P477" s="238"/>
      <c r="Q477" s="240"/>
      <c r="R477" s="241"/>
      <c r="S477" s="240"/>
      <c r="T477" s="240"/>
      <c r="U477" s="66"/>
    </row>
    <row r="478" spans="2:21" x14ac:dyDescent="0.25">
      <c r="B478" s="66"/>
      <c r="C478" s="235"/>
      <c r="D478" s="236"/>
      <c r="E478" s="237"/>
      <c r="F478" s="238"/>
      <c r="G478" s="235"/>
      <c r="H478" s="235"/>
      <c r="I478" s="205"/>
      <c r="J478" s="205"/>
      <c r="K478" s="205"/>
      <c r="L478" s="205"/>
      <c r="M478" s="239"/>
      <c r="N478" s="235"/>
      <c r="O478" s="240"/>
      <c r="P478" s="238"/>
      <c r="Q478" s="240"/>
      <c r="R478" s="241"/>
      <c r="S478" s="240"/>
      <c r="T478" s="240"/>
      <c r="U478" s="66"/>
    </row>
    <row r="479" spans="2:21" x14ac:dyDescent="0.25">
      <c r="B479" s="66"/>
      <c r="C479" s="235"/>
      <c r="D479" s="236"/>
      <c r="E479" s="237"/>
      <c r="F479" s="238"/>
      <c r="G479" s="235"/>
      <c r="H479" s="235"/>
      <c r="I479" s="205"/>
      <c r="J479" s="205"/>
      <c r="K479" s="205"/>
      <c r="L479" s="205"/>
      <c r="M479" s="239"/>
      <c r="N479" s="235"/>
      <c r="O479" s="240"/>
      <c r="P479" s="238"/>
      <c r="Q479" s="240"/>
      <c r="R479" s="241"/>
      <c r="S479" s="240"/>
      <c r="T479" s="240"/>
      <c r="U479" s="66"/>
    </row>
    <row r="480" spans="2:21" x14ac:dyDescent="0.25">
      <c r="B480" s="66"/>
      <c r="C480" s="235"/>
      <c r="D480" s="236"/>
      <c r="E480" s="237"/>
      <c r="F480" s="238"/>
      <c r="G480" s="235"/>
      <c r="H480" s="235"/>
      <c r="I480" s="205"/>
      <c r="J480" s="205"/>
      <c r="K480" s="205"/>
      <c r="L480" s="205"/>
      <c r="M480" s="239"/>
      <c r="N480" s="235"/>
      <c r="O480" s="240"/>
      <c r="P480" s="238"/>
      <c r="Q480" s="240"/>
      <c r="R480" s="241"/>
      <c r="S480" s="240"/>
      <c r="T480" s="240"/>
      <c r="U480" s="66"/>
    </row>
    <row r="481" spans="2:21" x14ac:dyDescent="0.25">
      <c r="B481" s="66"/>
      <c r="C481" s="235"/>
      <c r="D481" s="236"/>
      <c r="E481" s="237"/>
      <c r="F481" s="238"/>
      <c r="G481" s="235"/>
      <c r="H481" s="235"/>
      <c r="I481" s="205"/>
      <c r="J481" s="205"/>
      <c r="K481" s="205"/>
      <c r="L481" s="205"/>
      <c r="M481" s="239"/>
      <c r="N481" s="235"/>
      <c r="O481" s="240"/>
      <c r="P481" s="238"/>
      <c r="Q481" s="240"/>
      <c r="R481" s="241"/>
      <c r="S481" s="240"/>
      <c r="T481" s="240"/>
      <c r="U481" s="66"/>
    </row>
    <row r="482" spans="2:21" x14ac:dyDescent="0.25">
      <c r="B482" s="66"/>
      <c r="C482" s="235"/>
      <c r="D482" s="236"/>
      <c r="E482" s="237"/>
      <c r="F482" s="238"/>
      <c r="G482" s="235"/>
      <c r="H482" s="235"/>
      <c r="I482" s="205"/>
      <c r="J482" s="205"/>
      <c r="K482" s="205"/>
      <c r="L482" s="205"/>
      <c r="M482" s="239"/>
      <c r="N482" s="235"/>
      <c r="O482" s="240"/>
      <c r="P482" s="238"/>
      <c r="Q482" s="240"/>
      <c r="R482" s="241"/>
      <c r="S482" s="240"/>
      <c r="T482" s="240"/>
      <c r="U482" s="66"/>
    </row>
    <row r="483" spans="2:21" x14ac:dyDescent="0.25">
      <c r="B483" s="66"/>
      <c r="C483" s="235"/>
      <c r="D483" s="236"/>
      <c r="E483" s="237"/>
      <c r="F483" s="238"/>
      <c r="G483" s="235"/>
      <c r="H483" s="235"/>
      <c r="I483" s="205"/>
      <c r="J483" s="205"/>
      <c r="K483" s="205"/>
      <c r="L483" s="205"/>
      <c r="M483" s="239"/>
      <c r="N483" s="235"/>
      <c r="O483" s="240"/>
      <c r="P483" s="238"/>
      <c r="Q483" s="240"/>
      <c r="R483" s="241"/>
      <c r="S483" s="240"/>
      <c r="T483" s="240"/>
      <c r="U483" s="66"/>
    </row>
    <row r="484" spans="2:21" x14ac:dyDescent="0.25">
      <c r="B484" s="66"/>
      <c r="C484" s="235"/>
      <c r="D484" s="236"/>
      <c r="E484" s="237"/>
      <c r="F484" s="238"/>
      <c r="G484" s="235"/>
      <c r="H484" s="235"/>
      <c r="I484" s="205"/>
      <c r="J484" s="205"/>
      <c r="K484" s="205"/>
      <c r="L484" s="205"/>
      <c r="M484" s="239"/>
      <c r="N484" s="235"/>
      <c r="O484" s="240"/>
      <c r="P484" s="238"/>
      <c r="Q484" s="240"/>
      <c r="R484" s="241"/>
      <c r="S484" s="240"/>
      <c r="T484" s="240"/>
      <c r="U484" s="66"/>
    </row>
    <row r="485" spans="2:21" x14ac:dyDescent="0.25">
      <c r="B485" s="66"/>
      <c r="C485" s="235"/>
      <c r="D485" s="236"/>
      <c r="E485" s="237"/>
      <c r="F485" s="238"/>
      <c r="G485" s="235"/>
      <c r="H485" s="235"/>
      <c r="I485" s="205"/>
      <c r="J485" s="205"/>
      <c r="K485" s="205"/>
      <c r="L485" s="205"/>
      <c r="M485" s="239"/>
      <c r="N485" s="235"/>
      <c r="O485" s="240"/>
      <c r="P485" s="238"/>
      <c r="Q485" s="240"/>
      <c r="R485" s="241"/>
      <c r="S485" s="240"/>
      <c r="T485" s="240"/>
      <c r="U485" s="66"/>
    </row>
    <row r="486" spans="2:21" x14ac:dyDescent="0.25">
      <c r="B486" s="66"/>
      <c r="C486" s="235"/>
      <c r="D486" s="236"/>
      <c r="E486" s="237"/>
      <c r="F486" s="238"/>
      <c r="G486" s="235"/>
      <c r="H486" s="235"/>
      <c r="I486" s="205"/>
      <c r="J486" s="205"/>
      <c r="K486" s="205"/>
      <c r="L486" s="205"/>
      <c r="M486" s="239"/>
      <c r="N486" s="235"/>
      <c r="O486" s="240"/>
      <c r="P486" s="238"/>
      <c r="Q486" s="240"/>
      <c r="R486" s="241"/>
      <c r="S486" s="240"/>
      <c r="T486" s="240"/>
      <c r="U486" s="66"/>
    </row>
    <row r="487" spans="2:21" x14ac:dyDescent="0.25">
      <c r="B487" s="66"/>
      <c r="C487" s="235"/>
      <c r="D487" s="236"/>
      <c r="E487" s="237"/>
      <c r="F487" s="238"/>
      <c r="G487" s="235"/>
      <c r="H487" s="235"/>
      <c r="I487" s="205"/>
      <c r="J487" s="205"/>
      <c r="K487" s="205"/>
      <c r="L487" s="205"/>
      <c r="M487" s="239"/>
      <c r="N487" s="235"/>
      <c r="O487" s="240"/>
      <c r="P487" s="238"/>
      <c r="Q487" s="240"/>
      <c r="R487" s="241"/>
      <c r="S487" s="240"/>
      <c r="T487" s="240"/>
      <c r="U487" s="66"/>
    </row>
    <row r="488" spans="2:21" x14ac:dyDescent="0.25">
      <c r="B488" s="66"/>
      <c r="C488" s="235"/>
      <c r="D488" s="236"/>
      <c r="E488" s="237"/>
      <c r="F488" s="238"/>
      <c r="G488" s="235"/>
      <c r="H488" s="235"/>
      <c r="I488" s="205"/>
      <c r="J488" s="205"/>
      <c r="K488" s="205"/>
      <c r="L488" s="205"/>
      <c r="M488" s="239"/>
      <c r="N488" s="235"/>
      <c r="O488" s="240"/>
      <c r="P488" s="238"/>
      <c r="Q488" s="240"/>
      <c r="R488" s="241"/>
      <c r="S488" s="240"/>
      <c r="T488" s="240"/>
      <c r="U488" s="66"/>
    </row>
    <row r="489" spans="2:21" x14ac:dyDescent="0.25">
      <c r="B489" s="66"/>
      <c r="C489" s="235"/>
      <c r="D489" s="236"/>
      <c r="E489" s="237"/>
      <c r="F489" s="238"/>
      <c r="G489" s="235"/>
      <c r="H489" s="235"/>
      <c r="I489" s="205"/>
      <c r="J489" s="205"/>
      <c r="K489" s="205"/>
      <c r="L489" s="205"/>
      <c r="M489" s="239"/>
      <c r="N489" s="235"/>
      <c r="O489" s="240"/>
      <c r="P489" s="238"/>
      <c r="Q489" s="240"/>
      <c r="R489" s="241"/>
      <c r="S489" s="240"/>
      <c r="T489" s="240"/>
      <c r="U489" s="66"/>
    </row>
    <row r="490" spans="2:21" x14ac:dyDescent="0.25">
      <c r="B490" s="66"/>
      <c r="C490" s="235"/>
      <c r="D490" s="236"/>
      <c r="E490" s="237"/>
      <c r="F490" s="238"/>
      <c r="G490" s="235"/>
      <c r="H490" s="235"/>
      <c r="I490" s="205"/>
      <c r="J490" s="205"/>
      <c r="K490" s="205"/>
      <c r="L490" s="205"/>
      <c r="M490" s="239"/>
      <c r="N490" s="235"/>
      <c r="O490" s="240"/>
      <c r="P490" s="238"/>
      <c r="Q490" s="240"/>
      <c r="R490" s="241"/>
      <c r="S490" s="240"/>
      <c r="T490" s="240"/>
      <c r="U490" s="66"/>
    </row>
    <row r="491" spans="2:21" x14ac:dyDescent="0.25">
      <c r="B491" s="66"/>
      <c r="C491" s="235"/>
      <c r="D491" s="236"/>
      <c r="E491" s="237"/>
      <c r="F491" s="238"/>
      <c r="G491" s="235"/>
      <c r="H491" s="235"/>
      <c r="I491" s="205"/>
      <c r="J491" s="205"/>
      <c r="K491" s="205"/>
      <c r="L491" s="205"/>
      <c r="M491" s="239"/>
      <c r="N491" s="235"/>
      <c r="O491" s="240"/>
      <c r="P491" s="238"/>
      <c r="Q491" s="240"/>
      <c r="R491" s="241"/>
      <c r="S491" s="240"/>
      <c r="T491" s="240"/>
      <c r="U491" s="66"/>
    </row>
    <row r="492" spans="2:21" x14ac:dyDescent="0.25">
      <c r="B492" s="66"/>
      <c r="C492" s="235"/>
      <c r="D492" s="236"/>
      <c r="E492" s="237"/>
      <c r="F492" s="238"/>
      <c r="G492" s="235"/>
      <c r="H492" s="235"/>
      <c r="I492" s="205"/>
      <c r="J492" s="205"/>
      <c r="K492" s="205"/>
      <c r="L492" s="205"/>
      <c r="M492" s="239"/>
      <c r="N492" s="235"/>
      <c r="O492" s="240"/>
      <c r="P492" s="238"/>
      <c r="Q492" s="240"/>
      <c r="R492" s="241"/>
      <c r="S492" s="240"/>
      <c r="T492" s="240"/>
      <c r="U492" s="66"/>
    </row>
    <row r="493" spans="2:21" x14ac:dyDescent="0.25">
      <c r="B493" s="66"/>
      <c r="C493" s="235"/>
      <c r="D493" s="236"/>
      <c r="E493" s="237"/>
      <c r="F493" s="238"/>
      <c r="G493" s="235"/>
      <c r="H493" s="235"/>
      <c r="I493" s="205"/>
      <c r="J493" s="205"/>
      <c r="K493" s="205"/>
      <c r="L493" s="205"/>
      <c r="M493" s="239"/>
      <c r="N493" s="235"/>
      <c r="O493" s="240"/>
      <c r="P493" s="238"/>
      <c r="Q493" s="240"/>
      <c r="R493" s="241"/>
      <c r="S493" s="240"/>
      <c r="T493" s="240"/>
      <c r="U493" s="66"/>
    </row>
    <row r="494" spans="2:21" x14ac:dyDescent="0.25">
      <c r="B494" s="66"/>
      <c r="C494" s="235"/>
      <c r="D494" s="236"/>
      <c r="E494" s="237"/>
      <c r="F494" s="238"/>
      <c r="G494" s="235"/>
      <c r="H494" s="235"/>
      <c r="I494" s="205"/>
      <c r="J494" s="205"/>
      <c r="K494" s="205"/>
      <c r="L494" s="205"/>
      <c r="M494" s="239"/>
      <c r="N494" s="235"/>
      <c r="O494" s="240"/>
      <c r="P494" s="238"/>
      <c r="Q494" s="240"/>
      <c r="R494" s="241"/>
      <c r="S494" s="240"/>
      <c r="T494" s="240"/>
      <c r="U494" s="66"/>
    </row>
    <row r="495" spans="2:21" x14ac:dyDescent="0.25">
      <c r="B495" s="66"/>
      <c r="C495" s="235"/>
      <c r="D495" s="236"/>
      <c r="E495" s="237"/>
      <c r="F495" s="238"/>
      <c r="G495" s="235"/>
      <c r="H495" s="235"/>
      <c r="I495" s="205"/>
      <c r="J495" s="205"/>
      <c r="K495" s="205"/>
      <c r="L495" s="205"/>
      <c r="M495" s="239"/>
      <c r="N495" s="235"/>
      <c r="O495" s="240"/>
      <c r="P495" s="238"/>
      <c r="Q495" s="240"/>
      <c r="R495" s="241"/>
      <c r="S495" s="240"/>
      <c r="T495" s="240"/>
      <c r="U495" s="66"/>
    </row>
    <row r="496" spans="2:21" x14ac:dyDescent="0.25">
      <c r="B496" s="66"/>
      <c r="C496" s="235"/>
      <c r="D496" s="236"/>
      <c r="E496" s="237"/>
      <c r="F496" s="238"/>
      <c r="G496" s="235"/>
      <c r="H496" s="235"/>
      <c r="I496" s="205"/>
      <c r="J496" s="205"/>
      <c r="K496" s="205"/>
      <c r="L496" s="205"/>
      <c r="M496" s="239"/>
      <c r="N496" s="235"/>
      <c r="O496" s="240"/>
      <c r="P496" s="238"/>
      <c r="Q496" s="240"/>
      <c r="R496" s="241"/>
      <c r="S496" s="240"/>
      <c r="T496" s="240"/>
      <c r="U496" s="66"/>
    </row>
    <row r="497" spans="2:21" x14ac:dyDescent="0.25">
      <c r="B497" s="66"/>
      <c r="C497" s="235"/>
      <c r="D497" s="236"/>
      <c r="E497" s="237"/>
      <c r="F497" s="238"/>
      <c r="G497" s="235"/>
      <c r="H497" s="235"/>
      <c r="I497" s="205"/>
      <c r="J497" s="205"/>
      <c r="K497" s="205"/>
      <c r="L497" s="205"/>
      <c r="M497" s="239"/>
      <c r="N497" s="235"/>
      <c r="O497" s="240"/>
      <c r="P497" s="238"/>
      <c r="Q497" s="240"/>
      <c r="R497" s="241"/>
      <c r="S497" s="240"/>
      <c r="T497" s="240"/>
      <c r="U497" s="66"/>
    </row>
    <row r="498" spans="2:21" x14ac:dyDescent="0.25">
      <c r="B498" s="66"/>
      <c r="C498" s="235"/>
      <c r="D498" s="236"/>
      <c r="E498" s="237"/>
      <c r="F498" s="238"/>
      <c r="G498" s="235"/>
      <c r="H498" s="235"/>
      <c r="I498" s="205"/>
      <c r="J498" s="205"/>
      <c r="K498" s="205"/>
      <c r="L498" s="205"/>
      <c r="M498" s="239"/>
      <c r="N498" s="235"/>
      <c r="O498" s="240"/>
      <c r="P498" s="238"/>
      <c r="Q498" s="240"/>
      <c r="R498" s="241"/>
      <c r="S498" s="240"/>
      <c r="T498" s="240"/>
      <c r="U498" s="66"/>
    </row>
    <row r="499" spans="2:21" x14ac:dyDescent="0.25">
      <c r="B499" s="66"/>
      <c r="C499" s="235"/>
      <c r="D499" s="236"/>
      <c r="E499" s="237"/>
      <c r="F499" s="238"/>
      <c r="G499" s="235"/>
      <c r="H499" s="235"/>
      <c r="I499" s="205"/>
      <c r="J499" s="205"/>
      <c r="K499" s="205"/>
      <c r="L499" s="205"/>
      <c r="M499" s="239"/>
      <c r="N499" s="235"/>
      <c r="O499" s="240"/>
      <c r="P499" s="238"/>
      <c r="Q499" s="240"/>
      <c r="R499" s="241"/>
      <c r="S499" s="240"/>
      <c r="T499" s="240"/>
      <c r="U499" s="66"/>
    </row>
    <row r="500" spans="2:21" x14ac:dyDescent="0.25">
      <c r="B500" s="66"/>
      <c r="C500" s="235"/>
      <c r="D500" s="236"/>
      <c r="E500" s="237"/>
      <c r="F500" s="238"/>
      <c r="G500" s="235"/>
      <c r="H500" s="235"/>
      <c r="I500" s="205"/>
      <c r="J500" s="205"/>
      <c r="K500" s="205"/>
      <c r="L500" s="205"/>
      <c r="M500" s="239"/>
      <c r="N500" s="235"/>
      <c r="O500" s="240"/>
      <c r="P500" s="238"/>
      <c r="Q500" s="240"/>
      <c r="R500" s="241"/>
      <c r="S500" s="240"/>
      <c r="T500" s="240"/>
      <c r="U500" s="66"/>
    </row>
    <row r="501" spans="2:21" x14ac:dyDescent="0.25">
      <c r="B501" s="66"/>
      <c r="C501" s="235"/>
      <c r="D501" s="236"/>
      <c r="E501" s="237"/>
      <c r="F501" s="238"/>
      <c r="G501" s="235"/>
      <c r="H501" s="235"/>
      <c r="I501" s="205"/>
      <c r="J501" s="205"/>
      <c r="K501" s="205"/>
      <c r="L501" s="205"/>
      <c r="M501" s="239"/>
      <c r="N501" s="235"/>
      <c r="O501" s="240"/>
      <c r="P501" s="238"/>
      <c r="Q501" s="240"/>
      <c r="R501" s="241"/>
      <c r="S501" s="240"/>
      <c r="T501" s="240"/>
      <c r="U501" s="66"/>
    </row>
    <row r="502" spans="2:21" x14ac:dyDescent="0.25">
      <c r="B502" s="66"/>
      <c r="C502" s="235"/>
      <c r="D502" s="236"/>
      <c r="E502" s="237"/>
      <c r="F502" s="238"/>
      <c r="G502" s="235"/>
      <c r="H502" s="235"/>
      <c r="I502" s="205"/>
      <c r="J502" s="205"/>
      <c r="K502" s="205"/>
      <c r="L502" s="205"/>
      <c r="M502" s="239"/>
      <c r="N502" s="235"/>
      <c r="O502" s="240"/>
      <c r="P502" s="238"/>
      <c r="Q502" s="240"/>
      <c r="R502" s="241"/>
      <c r="S502" s="240"/>
      <c r="T502" s="240"/>
      <c r="U502" s="66"/>
    </row>
    <row r="503" spans="2:21" x14ac:dyDescent="0.25">
      <c r="B503" s="66"/>
      <c r="C503" s="235"/>
      <c r="D503" s="236"/>
      <c r="E503" s="237"/>
      <c r="F503" s="238"/>
      <c r="G503" s="235"/>
      <c r="H503" s="235"/>
      <c r="I503" s="205"/>
      <c r="J503" s="205"/>
      <c r="K503" s="205"/>
      <c r="L503" s="205"/>
      <c r="M503" s="239"/>
      <c r="N503" s="235"/>
      <c r="O503" s="240"/>
      <c r="P503" s="238"/>
      <c r="Q503" s="240"/>
      <c r="R503" s="241"/>
      <c r="S503" s="240"/>
      <c r="T503" s="240"/>
      <c r="U503" s="66"/>
    </row>
    <row r="504" spans="2:21" x14ac:dyDescent="0.25">
      <c r="B504" s="66"/>
      <c r="C504" s="235"/>
      <c r="D504" s="236"/>
      <c r="E504" s="237"/>
      <c r="F504" s="238"/>
      <c r="G504" s="235"/>
      <c r="H504" s="235"/>
      <c r="I504" s="205"/>
      <c r="J504" s="205"/>
      <c r="K504" s="205"/>
      <c r="L504" s="205"/>
      <c r="M504" s="239"/>
      <c r="N504" s="235"/>
      <c r="O504" s="240"/>
      <c r="P504" s="238"/>
      <c r="Q504" s="240"/>
      <c r="R504" s="241"/>
      <c r="S504" s="240"/>
      <c r="T504" s="240"/>
      <c r="U504" s="66"/>
    </row>
    <row r="505" spans="2:21" x14ac:dyDescent="0.25">
      <c r="B505" s="66"/>
      <c r="C505" s="235"/>
      <c r="D505" s="236"/>
      <c r="E505" s="237"/>
      <c r="F505" s="238"/>
      <c r="G505" s="235"/>
      <c r="H505" s="235"/>
      <c r="I505" s="205"/>
      <c r="J505" s="205"/>
      <c r="K505" s="205"/>
      <c r="L505" s="205"/>
      <c r="M505" s="239"/>
      <c r="N505" s="235"/>
      <c r="O505" s="240"/>
      <c r="P505" s="238"/>
      <c r="Q505" s="240"/>
      <c r="R505" s="241"/>
      <c r="S505" s="240"/>
      <c r="T505" s="240"/>
      <c r="U505" s="66"/>
    </row>
    <row r="506" spans="2:21" x14ac:dyDescent="0.25">
      <c r="B506" s="66"/>
      <c r="C506" s="235"/>
      <c r="D506" s="236"/>
      <c r="E506" s="237"/>
      <c r="F506" s="238"/>
      <c r="G506" s="235"/>
      <c r="H506" s="235"/>
      <c r="I506" s="205"/>
      <c r="J506" s="205"/>
      <c r="K506" s="205"/>
      <c r="L506" s="205"/>
      <c r="M506" s="239"/>
      <c r="N506" s="235"/>
      <c r="O506" s="240"/>
      <c r="P506" s="238"/>
      <c r="Q506" s="240"/>
      <c r="R506" s="241"/>
      <c r="S506" s="240"/>
      <c r="T506" s="240"/>
      <c r="U506" s="66"/>
    </row>
    <row r="507" spans="2:21" x14ac:dyDescent="0.25">
      <c r="B507" s="66"/>
      <c r="C507" s="235"/>
      <c r="D507" s="236"/>
      <c r="E507" s="237"/>
      <c r="F507" s="238"/>
      <c r="G507" s="235"/>
      <c r="H507" s="235"/>
      <c r="I507" s="205"/>
      <c r="J507" s="205"/>
      <c r="K507" s="205"/>
      <c r="L507" s="205"/>
      <c r="M507" s="239"/>
      <c r="N507" s="235"/>
      <c r="O507" s="240"/>
      <c r="P507" s="238"/>
      <c r="Q507" s="240"/>
      <c r="R507" s="241"/>
      <c r="S507" s="240"/>
      <c r="T507" s="240"/>
      <c r="U507" s="66"/>
    </row>
    <row r="508" spans="2:21" x14ac:dyDescent="0.25">
      <c r="B508" s="66"/>
      <c r="C508" s="235"/>
      <c r="D508" s="236"/>
      <c r="E508" s="237"/>
      <c r="F508" s="238"/>
      <c r="G508" s="235"/>
      <c r="H508" s="235"/>
      <c r="I508" s="205"/>
      <c r="J508" s="205"/>
      <c r="K508" s="205"/>
      <c r="L508" s="205"/>
      <c r="M508" s="239"/>
      <c r="N508" s="235"/>
      <c r="O508" s="240"/>
      <c r="P508" s="238"/>
      <c r="Q508" s="240"/>
      <c r="R508" s="241"/>
      <c r="S508" s="240"/>
      <c r="T508" s="240"/>
      <c r="U508" s="66"/>
    </row>
    <row r="509" spans="2:21" x14ac:dyDescent="0.25">
      <c r="B509" s="66"/>
      <c r="C509" s="235"/>
      <c r="D509" s="236"/>
      <c r="E509" s="237"/>
      <c r="F509" s="238"/>
      <c r="G509" s="235"/>
      <c r="H509" s="235"/>
      <c r="I509" s="205"/>
      <c r="J509" s="205"/>
      <c r="K509" s="205"/>
      <c r="L509" s="205"/>
      <c r="M509" s="239"/>
      <c r="N509" s="235"/>
      <c r="O509" s="240"/>
      <c r="P509" s="238"/>
      <c r="Q509" s="240"/>
      <c r="R509" s="241"/>
      <c r="S509" s="240"/>
      <c r="T509" s="240"/>
      <c r="U509" s="66"/>
    </row>
    <row r="510" spans="2:21" x14ac:dyDescent="0.25">
      <c r="B510" s="66"/>
      <c r="C510" s="235"/>
      <c r="D510" s="236"/>
      <c r="E510" s="237"/>
      <c r="F510" s="238"/>
      <c r="G510" s="235"/>
      <c r="H510" s="235"/>
      <c r="I510" s="205"/>
      <c r="J510" s="205"/>
      <c r="K510" s="205"/>
      <c r="L510" s="205"/>
      <c r="M510" s="239"/>
      <c r="N510" s="235"/>
      <c r="O510" s="240"/>
      <c r="P510" s="238"/>
      <c r="Q510" s="240"/>
      <c r="R510" s="241"/>
      <c r="S510" s="240"/>
      <c r="T510" s="240"/>
      <c r="U510" s="66"/>
    </row>
    <row r="511" spans="2:21" x14ac:dyDescent="0.25">
      <c r="B511" s="66"/>
      <c r="C511" s="235"/>
      <c r="D511" s="236"/>
      <c r="E511" s="237"/>
      <c r="F511" s="238"/>
      <c r="G511" s="235"/>
      <c r="H511" s="235"/>
      <c r="I511" s="205"/>
      <c r="J511" s="205"/>
      <c r="K511" s="205"/>
      <c r="L511" s="205"/>
      <c r="M511" s="239"/>
      <c r="N511" s="235"/>
      <c r="O511" s="240"/>
      <c r="P511" s="238"/>
      <c r="Q511" s="240"/>
      <c r="R511" s="241"/>
      <c r="S511" s="240"/>
      <c r="T511" s="240"/>
      <c r="U511" s="66"/>
    </row>
    <row r="512" spans="2:21" x14ac:dyDescent="0.25">
      <c r="B512" s="66"/>
      <c r="C512" s="235"/>
      <c r="D512" s="236"/>
      <c r="E512" s="237"/>
      <c r="F512" s="238"/>
      <c r="G512" s="235"/>
      <c r="H512" s="235"/>
      <c r="I512" s="205"/>
      <c r="J512" s="205"/>
      <c r="K512" s="205"/>
      <c r="L512" s="205"/>
      <c r="M512" s="239"/>
      <c r="N512" s="235"/>
      <c r="O512" s="240"/>
      <c r="P512" s="238"/>
      <c r="Q512" s="240"/>
      <c r="R512" s="241"/>
      <c r="S512" s="240"/>
      <c r="T512" s="240"/>
      <c r="U512" s="66"/>
    </row>
    <row r="513" spans="2:21" x14ac:dyDescent="0.25">
      <c r="B513" s="66"/>
      <c r="C513" s="235"/>
      <c r="D513" s="236"/>
      <c r="E513" s="237"/>
      <c r="F513" s="238"/>
      <c r="G513" s="235"/>
      <c r="H513" s="235"/>
      <c r="I513" s="205"/>
      <c r="J513" s="205"/>
      <c r="K513" s="205"/>
      <c r="L513" s="205"/>
      <c r="M513" s="239"/>
      <c r="N513" s="235"/>
      <c r="O513" s="240"/>
      <c r="P513" s="238"/>
      <c r="Q513" s="240"/>
      <c r="R513" s="241"/>
      <c r="S513" s="240"/>
      <c r="T513" s="240"/>
      <c r="U513" s="66"/>
    </row>
    <row r="514" spans="2:21" x14ac:dyDescent="0.25">
      <c r="B514" s="66"/>
      <c r="C514" s="235"/>
      <c r="D514" s="236"/>
      <c r="E514" s="237"/>
      <c r="F514" s="238"/>
      <c r="G514" s="235"/>
      <c r="H514" s="235"/>
      <c r="I514" s="205"/>
      <c r="J514" s="205"/>
      <c r="K514" s="205"/>
      <c r="L514" s="205"/>
      <c r="M514" s="239"/>
      <c r="N514" s="235"/>
      <c r="O514" s="240"/>
      <c r="P514" s="238"/>
      <c r="Q514" s="240"/>
      <c r="R514" s="241"/>
      <c r="S514" s="240"/>
      <c r="T514" s="240"/>
      <c r="U514" s="66"/>
    </row>
    <row r="515" spans="2:21" x14ac:dyDescent="0.25">
      <c r="B515" s="66"/>
      <c r="C515" s="235"/>
      <c r="D515" s="236"/>
      <c r="E515" s="237"/>
      <c r="F515" s="238"/>
      <c r="G515" s="235"/>
      <c r="H515" s="235"/>
      <c r="I515" s="205"/>
      <c r="J515" s="205"/>
      <c r="K515" s="205"/>
      <c r="L515" s="205"/>
      <c r="M515" s="239"/>
      <c r="N515" s="235"/>
      <c r="O515" s="240"/>
      <c r="P515" s="238"/>
      <c r="Q515" s="240"/>
      <c r="R515" s="241"/>
      <c r="S515" s="240"/>
      <c r="T515" s="240"/>
      <c r="U515" s="66"/>
    </row>
    <row r="516" spans="2:21" x14ac:dyDescent="0.25">
      <c r="B516" s="66"/>
      <c r="C516" s="235"/>
      <c r="D516" s="236"/>
      <c r="E516" s="237"/>
      <c r="F516" s="238"/>
      <c r="G516" s="235"/>
      <c r="H516" s="235"/>
      <c r="I516" s="205"/>
      <c r="J516" s="205"/>
      <c r="K516" s="205"/>
      <c r="L516" s="205"/>
      <c r="M516" s="239"/>
      <c r="N516" s="235"/>
      <c r="O516" s="240"/>
      <c r="P516" s="238"/>
      <c r="Q516" s="240"/>
      <c r="R516" s="241"/>
      <c r="S516" s="240"/>
      <c r="T516" s="240"/>
      <c r="U516" s="66"/>
    </row>
    <row r="517" spans="2:21" x14ac:dyDescent="0.25">
      <c r="B517" s="66"/>
      <c r="C517" s="235"/>
      <c r="D517" s="236"/>
      <c r="E517" s="237"/>
      <c r="F517" s="238"/>
      <c r="G517" s="235"/>
      <c r="H517" s="235"/>
      <c r="I517" s="205"/>
      <c r="J517" s="205"/>
      <c r="K517" s="205"/>
      <c r="L517" s="205"/>
      <c r="M517" s="239"/>
      <c r="N517" s="235"/>
      <c r="O517" s="240"/>
      <c r="P517" s="238"/>
      <c r="Q517" s="240"/>
      <c r="R517" s="241"/>
      <c r="S517" s="240"/>
      <c r="T517" s="240"/>
      <c r="U517" s="66"/>
    </row>
    <row r="518" spans="2:21" x14ac:dyDescent="0.25">
      <c r="B518" s="66"/>
      <c r="C518" s="235"/>
      <c r="D518" s="236"/>
      <c r="E518" s="237"/>
      <c r="F518" s="238"/>
      <c r="G518" s="235"/>
      <c r="H518" s="235"/>
      <c r="I518" s="205"/>
      <c r="J518" s="205"/>
      <c r="K518" s="205"/>
      <c r="L518" s="205"/>
      <c r="M518" s="239"/>
      <c r="N518" s="235"/>
      <c r="O518" s="240"/>
      <c r="P518" s="238"/>
      <c r="Q518" s="240"/>
      <c r="R518" s="241"/>
      <c r="S518" s="240"/>
      <c r="T518" s="240"/>
      <c r="U518" s="66"/>
    </row>
    <row r="519" spans="2:21" x14ac:dyDescent="0.25">
      <c r="B519" s="66"/>
      <c r="C519" s="235"/>
      <c r="D519" s="236"/>
      <c r="E519" s="237"/>
      <c r="F519" s="238"/>
      <c r="G519" s="235"/>
      <c r="H519" s="235"/>
      <c r="I519" s="205"/>
      <c r="J519" s="205"/>
      <c r="K519" s="205"/>
      <c r="L519" s="205"/>
      <c r="M519" s="239"/>
      <c r="N519" s="235"/>
      <c r="O519" s="240"/>
      <c r="P519" s="238"/>
      <c r="Q519" s="240"/>
      <c r="R519" s="241"/>
      <c r="S519" s="240"/>
      <c r="T519" s="240"/>
      <c r="U519" s="66"/>
    </row>
    <row r="520" spans="2:21" x14ac:dyDescent="0.25">
      <c r="B520" s="66"/>
      <c r="C520" s="235"/>
      <c r="D520" s="236"/>
      <c r="E520" s="237"/>
      <c r="F520" s="238"/>
      <c r="G520" s="235"/>
      <c r="H520" s="235"/>
      <c r="I520" s="205"/>
      <c r="J520" s="205"/>
      <c r="K520" s="205"/>
      <c r="L520" s="205"/>
      <c r="M520" s="239"/>
      <c r="N520" s="235"/>
      <c r="O520" s="240"/>
      <c r="P520" s="238"/>
      <c r="Q520" s="240"/>
      <c r="R520" s="241"/>
      <c r="S520" s="240"/>
      <c r="T520" s="240"/>
      <c r="U520" s="66"/>
    </row>
    <row r="521" spans="2:21" x14ac:dyDescent="0.25">
      <c r="B521" s="66"/>
      <c r="C521" s="235"/>
      <c r="D521" s="236"/>
      <c r="E521" s="237"/>
      <c r="F521" s="238"/>
      <c r="G521" s="235"/>
      <c r="H521" s="235"/>
      <c r="I521" s="205"/>
      <c r="J521" s="205"/>
      <c r="K521" s="205"/>
      <c r="L521" s="205"/>
      <c r="M521" s="239"/>
      <c r="N521" s="235"/>
      <c r="O521" s="240"/>
      <c r="P521" s="238"/>
      <c r="Q521" s="240"/>
      <c r="R521" s="241"/>
      <c r="S521" s="240"/>
      <c r="T521" s="240"/>
      <c r="U521" s="66"/>
    </row>
    <row r="522" spans="2:21" x14ac:dyDescent="0.25">
      <c r="B522" s="66"/>
      <c r="C522" s="235"/>
      <c r="D522" s="236"/>
      <c r="E522" s="237"/>
      <c r="F522" s="238"/>
      <c r="G522" s="235"/>
      <c r="H522" s="235"/>
      <c r="I522" s="205"/>
      <c r="J522" s="205"/>
      <c r="K522" s="205"/>
      <c r="L522" s="205"/>
      <c r="M522" s="239"/>
      <c r="N522" s="235"/>
      <c r="O522" s="240"/>
      <c r="P522" s="238"/>
      <c r="Q522" s="240"/>
      <c r="R522" s="241"/>
      <c r="S522" s="240"/>
      <c r="T522" s="240"/>
      <c r="U522" s="66"/>
    </row>
    <row r="523" spans="2:21" x14ac:dyDescent="0.25">
      <c r="B523" s="66"/>
      <c r="C523" s="235"/>
      <c r="D523" s="236"/>
      <c r="E523" s="237"/>
      <c r="F523" s="238"/>
      <c r="G523" s="235"/>
      <c r="H523" s="235"/>
      <c r="I523" s="205"/>
      <c r="J523" s="205"/>
      <c r="K523" s="205"/>
      <c r="L523" s="205"/>
      <c r="M523" s="239"/>
      <c r="N523" s="235"/>
      <c r="O523" s="240"/>
      <c r="P523" s="238"/>
      <c r="Q523" s="240"/>
      <c r="R523" s="241"/>
      <c r="S523" s="240"/>
      <c r="T523" s="240"/>
      <c r="U523" s="66"/>
    </row>
    <row r="524" spans="2:21" x14ac:dyDescent="0.25">
      <c r="B524" s="66"/>
      <c r="C524" s="235"/>
      <c r="D524" s="236"/>
      <c r="E524" s="237"/>
      <c r="F524" s="238"/>
      <c r="G524" s="235"/>
      <c r="H524" s="235"/>
      <c r="I524" s="205"/>
      <c r="J524" s="205"/>
      <c r="K524" s="205"/>
      <c r="L524" s="205"/>
      <c r="M524" s="239"/>
      <c r="N524" s="235"/>
      <c r="O524" s="240"/>
      <c r="P524" s="238"/>
      <c r="Q524" s="240"/>
      <c r="R524" s="241"/>
      <c r="S524" s="240"/>
      <c r="T524" s="240"/>
      <c r="U524" s="66"/>
    </row>
    <row r="525" spans="2:21" x14ac:dyDescent="0.25">
      <c r="B525" s="66"/>
      <c r="C525" s="235"/>
      <c r="D525" s="236"/>
      <c r="E525" s="237"/>
      <c r="F525" s="238"/>
      <c r="G525" s="235"/>
      <c r="H525" s="235"/>
      <c r="I525" s="205"/>
      <c r="J525" s="205"/>
      <c r="K525" s="205"/>
      <c r="L525" s="205"/>
      <c r="M525" s="239"/>
      <c r="N525" s="235"/>
      <c r="O525" s="240"/>
      <c r="P525" s="238"/>
      <c r="Q525" s="240"/>
      <c r="R525" s="241"/>
      <c r="S525" s="240"/>
      <c r="T525" s="240"/>
      <c r="U525" s="66"/>
    </row>
    <row r="526" spans="2:21" x14ac:dyDescent="0.25">
      <c r="B526" s="66"/>
      <c r="C526" s="235"/>
      <c r="D526" s="236"/>
      <c r="E526" s="237"/>
      <c r="F526" s="238"/>
      <c r="G526" s="235"/>
      <c r="H526" s="235"/>
      <c r="I526" s="205"/>
      <c r="J526" s="205"/>
      <c r="K526" s="205"/>
      <c r="L526" s="205"/>
      <c r="M526" s="239"/>
      <c r="N526" s="235"/>
      <c r="O526" s="240"/>
      <c r="P526" s="238"/>
      <c r="Q526" s="240"/>
      <c r="R526" s="241"/>
      <c r="S526" s="240"/>
      <c r="T526" s="240"/>
      <c r="U526" s="66"/>
    </row>
    <row r="527" spans="2:21" x14ac:dyDescent="0.25">
      <c r="B527" s="66"/>
      <c r="C527" s="235"/>
      <c r="D527" s="236"/>
      <c r="E527" s="237"/>
      <c r="F527" s="238"/>
      <c r="G527" s="235"/>
      <c r="H527" s="235"/>
      <c r="I527" s="205"/>
      <c r="J527" s="205"/>
      <c r="K527" s="205"/>
      <c r="L527" s="205"/>
      <c r="M527" s="239"/>
      <c r="N527" s="235"/>
      <c r="O527" s="240"/>
      <c r="P527" s="238"/>
      <c r="Q527" s="240"/>
      <c r="R527" s="241"/>
      <c r="S527" s="240"/>
      <c r="T527" s="240"/>
      <c r="U527" s="66"/>
    </row>
    <row r="528" spans="2:21" x14ac:dyDescent="0.25">
      <c r="B528" s="66"/>
      <c r="C528" s="235"/>
      <c r="D528" s="236"/>
      <c r="E528" s="237"/>
      <c r="F528" s="238"/>
      <c r="G528" s="235"/>
      <c r="H528" s="235"/>
      <c r="I528" s="205"/>
      <c r="J528" s="205"/>
      <c r="K528" s="205"/>
      <c r="L528" s="205"/>
      <c r="M528" s="239"/>
      <c r="N528" s="235"/>
      <c r="O528" s="240"/>
      <c r="P528" s="238"/>
      <c r="Q528" s="240"/>
      <c r="R528" s="241"/>
      <c r="S528" s="240"/>
      <c r="T528" s="240"/>
      <c r="U528" s="66"/>
    </row>
    <row r="529" spans="2:21" x14ac:dyDescent="0.25">
      <c r="B529" s="66"/>
      <c r="C529" s="235"/>
      <c r="D529" s="236"/>
      <c r="E529" s="237"/>
      <c r="F529" s="238"/>
      <c r="G529" s="235"/>
      <c r="H529" s="235"/>
      <c r="I529" s="205"/>
      <c r="J529" s="205"/>
      <c r="K529" s="205"/>
      <c r="L529" s="205"/>
      <c r="M529" s="239"/>
      <c r="N529" s="235"/>
      <c r="O529" s="240"/>
      <c r="P529" s="238"/>
      <c r="Q529" s="240"/>
      <c r="R529" s="241"/>
      <c r="S529" s="240"/>
      <c r="T529" s="240"/>
      <c r="U529" s="66"/>
    </row>
    <row r="530" spans="2:21" x14ac:dyDescent="0.25">
      <c r="B530" s="66"/>
      <c r="C530" s="235"/>
      <c r="D530" s="236"/>
      <c r="E530" s="237"/>
      <c r="F530" s="238"/>
      <c r="G530" s="235"/>
      <c r="H530" s="235"/>
      <c r="I530" s="205"/>
      <c r="J530" s="205"/>
      <c r="K530" s="205"/>
      <c r="L530" s="205"/>
      <c r="M530" s="239"/>
      <c r="N530" s="235"/>
      <c r="O530" s="240"/>
      <c r="P530" s="238"/>
      <c r="Q530" s="240"/>
      <c r="R530" s="241"/>
      <c r="S530" s="240"/>
      <c r="T530" s="240"/>
      <c r="U530" s="66"/>
    </row>
    <row r="531" spans="2:21" x14ac:dyDescent="0.25">
      <c r="B531" s="66"/>
      <c r="C531" s="235"/>
      <c r="D531" s="236"/>
      <c r="E531" s="237"/>
      <c r="F531" s="238"/>
      <c r="G531" s="235"/>
      <c r="H531" s="235"/>
      <c r="I531" s="205"/>
      <c r="J531" s="205"/>
      <c r="K531" s="205"/>
      <c r="L531" s="205"/>
      <c r="M531" s="239"/>
      <c r="N531" s="235"/>
      <c r="O531" s="240"/>
      <c r="P531" s="238"/>
      <c r="Q531" s="240"/>
      <c r="R531" s="241"/>
      <c r="S531" s="240"/>
      <c r="T531" s="240"/>
      <c r="U531" s="66"/>
    </row>
    <row r="532" spans="2:21" x14ac:dyDescent="0.25">
      <c r="B532" s="66"/>
      <c r="C532" s="235"/>
      <c r="D532" s="236"/>
      <c r="E532" s="237"/>
      <c r="F532" s="238"/>
      <c r="G532" s="235"/>
      <c r="H532" s="235"/>
      <c r="I532" s="205"/>
      <c r="J532" s="205"/>
      <c r="K532" s="205"/>
      <c r="L532" s="205"/>
      <c r="M532" s="239"/>
      <c r="N532" s="235"/>
      <c r="O532" s="240"/>
      <c r="P532" s="238"/>
      <c r="Q532" s="240"/>
      <c r="R532" s="241"/>
      <c r="S532" s="240"/>
      <c r="T532" s="240"/>
      <c r="U532" s="66"/>
    </row>
    <row r="533" spans="2:21" x14ac:dyDescent="0.25">
      <c r="B533" s="66"/>
      <c r="C533" s="235"/>
      <c r="D533" s="236"/>
      <c r="E533" s="237"/>
      <c r="F533" s="238"/>
      <c r="G533" s="235"/>
      <c r="H533" s="235"/>
      <c r="I533" s="205"/>
      <c r="J533" s="205"/>
      <c r="K533" s="205"/>
      <c r="L533" s="205"/>
      <c r="M533" s="239"/>
      <c r="N533" s="235"/>
      <c r="O533" s="240"/>
      <c r="P533" s="238"/>
      <c r="Q533" s="240"/>
      <c r="R533" s="241"/>
      <c r="S533" s="240"/>
      <c r="T533" s="240"/>
      <c r="U533" s="66"/>
    </row>
    <row r="534" spans="2:21" x14ac:dyDescent="0.25">
      <c r="B534" s="66"/>
      <c r="C534" s="235"/>
      <c r="D534" s="236"/>
      <c r="E534" s="237"/>
      <c r="F534" s="238"/>
      <c r="G534" s="235"/>
      <c r="H534" s="235"/>
      <c r="I534" s="205"/>
      <c r="J534" s="205"/>
      <c r="K534" s="205"/>
      <c r="L534" s="205"/>
      <c r="M534" s="239"/>
      <c r="N534" s="235"/>
      <c r="O534" s="240"/>
      <c r="P534" s="238"/>
      <c r="Q534" s="240"/>
      <c r="R534" s="241"/>
      <c r="S534" s="240"/>
      <c r="T534" s="240"/>
      <c r="U534" s="66"/>
    </row>
    <row r="535" spans="2:21" x14ac:dyDescent="0.25">
      <c r="B535" s="66"/>
      <c r="C535" s="235"/>
      <c r="D535" s="236"/>
      <c r="E535" s="237"/>
      <c r="F535" s="238"/>
      <c r="G535" s="235"/>
      <c r="H535" s="235"/>
      <c r="I535" s="205"/>
      <c r="J535" s="205"/>
      <c r="K535" s="205"/>
      <c r="L535" s="205"/>
      <c r="M535" s="239"/>
      <c r="N535" s="235"/>
      <c r="O535" s="240"/>
      <c r="P535" s="238"/>
      <c r="Q535" s="240"/>
      <c r="R535" s="241"/>
      <c r="S535" s="240"/>
      <c r="T535" s="240"/>
      <c r="U535" s="66"/>
    </row>
    <row r="536" spans="2:21" x14ac:dyDescent="0.25">
      <c r="B536" s="66"/>
      <c r="C536" s="235"/>
      <c r="D536" s="236"/>
      <c r="E536" s="237"/>
      <c r="F536" s="238"/>
      <c r="G536" s="235"/>
      <c r="H536" s="235"/>
      <c r="I536" s="205"/>
      <c r="J536" s="205"/>
      <c r="K536" s="205"/>
      <c r="L536" s="205"/>
      <c r="M536" s="239"/>
      <c r="N536" s="235"/>
      <c r="O536" s="240"/>
      <c r="P536" s="238"/>
      <c r="Q536" s="240"/>
      <c r="R536" s="241"/>
      <c r="S536" s="240"/>
      <c r="T536" s="240"/>
      <c r="U536" s="66"/>
    </row>
    <row r="537" spans="2:21" x14ac:dyDescent="0.25">
      <c r="B537" s="66"/>
      <c r="C537" s="235"/>
      <c r="D537" s="236"/>
      <c r="E537" s="237"/>
      <c r="F537" s="238"/>
      <c r="G537" s="235"/>
      <c r="H537" s="235"/>
      <c r="I537" s="205"/>
      <c r="J537" s="205"/>
      <c r="K537" s="205"/>
      <c r="L537" s="205"/>
      <c r="M537" s="239"/>
      <c r="N537" s="235"/>
      <c r="O537" s="240"/>
      <c r="P537" s="238"/>
      <c r="Q537" s="240"/>
      <c r="R537" s="241"/>
      <c r="S537" s="240"/>
      <c r="T537" s="240"/>
      <c r="U537" s="66"/>
    </row>
    <row r="538" spans="2:21" x14ac:dyDescent="0.25">
      <c r="B538" s="66"/>
      <c r="C538" s="235"/>
      <c r="D538" s="236"/>
      <c r="E538" s="237"/>
      <c r="F538" s="238"/>
      <c r="G538" s="235"/>
      <c r="H538" s="235"/>
      <c r="I538" s="205"/>
      <c r="J538" s="205"/>
      <c r="K538" s="205"/>
      <c r="L538" s="205"/>
      <c r="M538" s="239"/>
      <c r="N538" s="235"/>
      <c r="O538" s="240"/>
      <c r="P538" s="238"/>
      <c r="Q538" s="240"/>
      <c r="R538" s="241"/>
      <c r="S538" s="240"/>
      <c r="T538" s="240"/>
      <c r="U538" s="66"/>
    </row>
    <row r="539" spans="2:21" x14ac:dyDescent="0.25">
      <c r="B539" s="66"/>
      <c r="C539" s="235"/>
      <c r="D539" s="236"/>
      <c r="E539" s="237"/>
      <c r="F539" s="238"/>
      <c r="G539" s="235"/>
      <c r="H539" s="235"/>
      <c r="I539" s="205"/>
      <c r="J539" s="205"/>
      <c r="K539" s="205"/>
      <c r="L539" s="205"/>
      <c r="M539" s="239"/>
      <c r="N539" s="235"/>
      <c r="O539" s="240"/>
      <c r="P539" s="238"/>
      <c r="Q539" s="240"/>
      <c r="R539" s="241"/>
      <c r="S539" s="240"/>
      <c r="T539" s="240"/>
      <c r="U539" s="66"/>
    </row>
    <row r="540" spans="2:21" x14ac:dyDescent="0.25">
      <c r="B540" s="66"/>
      <c r="C540" s="235"/>
      <c r="D540" s="236"/>
      <c r="E540" s="237"/>
      <c r="F540" s="238"/>
      <c r="G540" s="235"/>
      <c r="H540" s="235"/>
      <c r="I540" s="205"/>
      <c r="J540" s="205"/>
      <c r="K540" s="205"/>
      <c r="L540" s="205"/>
      <c r="M540" s="239"/>
      <c r="N540" s="235"/>
      <c r="O540" s="240"/>
      <c r="P540" s="238"/>
      <c r="Q540" s="240"/>
      <c r="R540" s="241"/>
      <c r="S540" s="240"/>
      <c r="T540" s="240"/>
      <c r="U540" s="66"/>
    </row>
    <row r="541" spans="2:21" x14ac:dyDescent="0.25">
      <c r="B541" s="66"/>
      <c r="C541" s="235"/>
      <c r="D541" s="236"/>
      <c r="E541" s="237"/>
      <c r="F541" s="238"/>
      <c r="G541" s="235"/>
      <c r="H541" s="235"/>
      <c r="I541" s="205"/>
      <c r="J541" s="205"/>
      <c r="K541" s="205"/>
      <c r="L541" s="205"/>
      <c r="M541" s="239"/>
      <c r="N541" s="235"/>
      <c r="O541" s="240"/>
      <c r="P541" s="238"/>
      <c r="Q541" s="240"/>
      <c r="R541" s="241"/>
      <c r="S541" s="240"/>
      <c r="T541" s="240"/>
      <c r="U541" s="66"/>
    </row>
    <row r="542" spans="2:21" x14ac:dyDescent="0.25">
      <c r="B542" s="66"/>
      <c r="C542" s="235"/>
      <c r="D542" s="236"/>
      <c r="E542" s="237"/>
      <c r="F542" s="238"/>
      <c r="G542" s="235"/>
      <c r="H542" s="235"/>
      <c r="I542" s="205"/>
      <c r="J542" s="205"/>
      <c r="K542" s="205"/>
      <c r="L542" s="205"/>
      <c r="M542" s="239"/>
      <c r="N542" s="235"/>
      <c r="O542" s="240"/>
      <c r="P542" s="238"/>
      <c r="Q542" s="240"/>
      <c r="R542" s="241"/>
      <c r="S542" s="240"/>
      <c r="T542" s="240"/>
      <c r="U542" s="66"/>
    </row>
    <row r="543" spans="2:21" x14ac:dyDescent="0.25">
      <c r="B543" s="66"/>
      <c r="C543" s="235"/>
      <c r="D543" s="236"/>
      <c r="E543" s="237"/>
      <c r="F543" s="238"/>
      <c r="G543" s="235"/>
      <c r="H543" s="235"/>
      <c r="I543" s="205"/>
      <c r="J543" s="205"/>
      <c r="K543" s="205"/>
      <c r="L543" s="205"/>
      <c r="M543" s="239"/>
      <c r="N543" s="235"/>
      <c r="O543" s="240"/>
      <c r="P543" s="238"/>
      <c r="Q543" s="240"/>
      <c r="R543" s="241"/>
      <c r="S543" s="240"/>
      <c r="T543" s="240"/>
      <c r="U543" s="66"/>
    </row>
    <row r="544" spans="2:21" x14ac:dyDescent="0.25">
      <c r="B544" s="66"/>
      <c r="C544" s="235"/>
      <c r="D544" s="236"/>
      <c r="E544" s="237"/>
      <c r="F544" s="238"/>
      <c r="G544" s="235"/>
      <c r="H544" s="235"/>
      <c r="I544" s="205"/>
      <c r="J544" s="205"/>
      <c r="K544" s="205"/>
      <c r="L544" s="205"/>
      <c r="M544" s="239"/>
      <c r="N544" s="235"/>
      <c r="O544" s="240"/>
      <c r="P544" s="238"/>
      <c r="Q544" s="240"/>
      <c r="R544" s="241"/>
      <c r="S544" s="240"/>
      <c r="T544" s="240"/>
      <c r="U544" s="66"/>
    </row>
    <row r="545" spans="2:21" x14ac:dyDescent="0.25">
      <c r="B545" s="66"/>
      <c r="C545" s="235"/>
      <c r="D545" s="236"/>
      <c r="E545" s="237"/>
      <c r="F545" s="238"/>
      <c r="G545" s="235"/>
      <c r="H545" s="235"/>
      <c r="I545" s="205"/>
      <c r="J545" s="205"/>
      <c r="K545" s="205"/>
      <c r="L545" s="205"/>
      <c r="M545" s="239"/>
      <c r="N545" s="235"/>
      <c r="O545" s="240"/>
      <c r="P545" s="238"/>
      <c r="Q545" s="240"/>
      <c r="R545" s="241"/>
      <c r="S545" s="240"/>
      <c r="T545" s="240"/>
      <c r="U545" s="66"/>
    </row>
    <row r="546" spans="2:21" x14ac:dyDescent="0.25">
      <c r="B546" s="66"/>
      <c r="C546" s="235"/>
      <c r="D546" s="236"/>
      <c r="E546" s="237"/>
      <c r="F546" s="238"/>
      <c r="G546" s="235"/>
      <c r="H546" s="235"/>
      <c r="I546" s="205"/>
      <c r="J546" s="205"/>
      <c r="K546" s="205"/>
      <c r="L546" s="205"/>
      <c r="M546" s="239"/>
      <c r="N546" s="235"/>
      <c r="O546" s="240"/>
      <c r="P546" s="238"/>
      <c r="Q546" s="240"/>
      <c r="R546" s="241"/>
      <c r="S546" s="240"/>
      <c r="T546" s="240"/>
      <c r="U546" s="66"/>
    </row>
    <row r="547" spans="2:21" x14ac:dyDescent="0.25">
      <c r="B547" s="66"/>
      <c r="C547" s="235"/>
      <c r="D547" s="236"/>
      <c r="E547" s="237"/>
      <c r="F547" s="238"/>
      <c r="G547" s="235"/>
      <c r="H547" s="235"/>
      <c r="I547" s="205"/>
      <c r="J547" s="205"/>
      <c r="K547" s="205"/>
      <c r="L547" s="205"/>
      <c r="M547" s="239"/>
      <c r="N547" s="235"/>
      <c r="O547" s="240"/>
      <c r="P547" s="238"/>
      <c r="Q547" s="240"/>
      <c r="R547" s="241"/>
      <c r="S547" s="240"/>
      <c r="T547" s="240"/>
      <c r="U547" s="66"/>
    </row>
    <row r="548" spans="2:21" x14ac:dyDescent="0.25">
      <c r="B548" s="66"/>
      <c r="C548" s="235"/>
      <c r="D548" s="236"/>
      <c r="E548" s="237"/>
      <c r="F548" s="238"/>
      <c r="G548" s="235"/>
      <c r="H548" s="235"/>
      <c r="I548" s="205"/>
      <c r="J548" s="205"/>
      <c r="K548" s="205"/>
      <c r="L548" s="205"/>
      <c r="M548" s="239"/>
      <c r="N548" s="235"/>
      <c r="O548" s="240"/>
      <c r="P548" s="238"/>
      <c r="Q548" s="240"/>
      <c r="R548" s="241"/>
      <c r="S548" s="240"/>
      <c r="T548" s="240"/>
      <c r="U548" s="66"/>
    </row>
    <row r="549" spans="2:21" x14ac:dyDescent="0.25">
      <c r="B549" s="66"/>
      <c r="C549" s="235"/>
      <c r="D549" s="236"/>
      <c r="E549" s="237"/>
      <c r="F549" s="238"/>
      <c r="G549" s="235"/>
      <c r="H549" s="235"/>
      <c r="I549" s="205"/>
      <c r="J549" s="205"/>
      <c r="K549" s="205"/>
      <c r="L549" s="205"/>
      <c r="M549" s="239"/>
      <c r="N549" s="235"/>
      <c r="O549" s="240"/>
      <c r="P549" s="238"/>
      <c r="Q549" s="240"/>
      <c r="R549" s="241"/>
      <c r="S549" s="240"/>
      <c r="T549" s="240"/>
      <c r="U549" s="66"/>
    </row>
    <row r="550" spans="2:21" x14ac:dyDescent="0.25">
      <c r="B550" s="66"/>
      <c r="C550" s="235"/>
      <c r="D550" s="236"/>
      <c r="E550" s="237"/>
      <c r="F550" s="238"/>
      <c r="G550" s="235"/>
      <c r="H550" s="235"/>
      <c r="I550" s="205"/>
      <c r="J550" s="205"/>
      <c r="K550" s="205"/>
      <c r="L550" s="205"/>
      <c r="M550" s="239"/>
      <c r="N550" s="235"/>
      <c r="O550" s="240"/>
      <c r="P550" s="238"/>
      <c r="Q550" s="240"/>
      <c r="R550" s="241"/>
      <c r="S550" s="240"/>
      <c r="T550" s="240"/>
      <c r="U550" s="66"/>
    </row>
    <row r="551" spans="2:21" x14ac:dyDescent="0.25">
      <c r="B551" s="66"/>
      <c r="C551" s="235"/>
      <c r="D551" s="236"/>
      <c r="E551" s="237"/>
      <c r="F551" s="238"/>
      <c r="G551" s="235"/>
      <c r="H551" s="235"/>
      <c r="I551" s="205"/>
      <c r="J551" s="205"/>
      <c r="K551" s="205"/>
      <c r="L551" s="205"/>
      <c r="M551" s="239"/>
      <c r="N551" s="235"/>
      <c r="O551" s="240"/>
      <c r="P551" s="238"/>
      <c r="Q551" s="240"/>
      <c r="R551" s="241"/>
      <c r="S551" s="240"/>
      <c r="T551" s="240"/>
      <c r="U551" s="66"/>
    </row>
    <row r="552" spans="2:21" x14ac:dyDescent="0.25">
      <c r="B552" s="66"/>
      <c r="C552" s="235"/>
      <c r="D552" s="236"/>
      <c r="E552" s="237"/>
      <c r="F552" s="238"/>
      <c r="G552" s="235"/>
      <c r="H552" s="235"/>
      <c r="I552" s="205"/>
      <c r="J552" s="205"/>
      <c r="K552" s="205"/>
      <c r="L552" s="205"/>
      <c r="M552" s="239"/>
      <c r="N552" s="235"/>
      <c r="O552" s="240"/>
      <c r="P552" s="238"/>
      <c r="Q552" s="240"/>
      <c r="R552" s="241"/>
      <c r="S552" s="240"/>
      <c r="T552" s="240"/>
      <c r="U552" s="66"/>
    </row>
    <row r="553" spans="2:21" x14ac:dyDescent="0.25">
      <c r="B553" s="66"/>
      <c r="C553" s="235"/>
      <c r="D553" s="236"/>
      <c r="E553" s="237"/>
      <c r="F553" s="238"/>
      <c r="G553" s="235"/>
      <c r="H553" s="235"/>
      <c r="I553" s="205"/>
      <c r="J553" s="205"/>
      <c r="K553" s="205"/>
      <c r="L553" s="205"/>
      <c r="M553" s="239"/>
      <c r="N553" s="235"/>
      <c r="O553" s="240"/>
      <c r="P553" s="238"/>
      <c r="Q553" s="240"/>
      <c r="R553" s="241"/>
      <c r="S553" s="240"/>
      <c r="T553" s="240"/>
      <c r="U553" s="66"/>
    </row>
    <row r="554" spans="2:21" x14ac:dyDescent="0.25">
      <c r="B554" s="66"/>
      <c r="C554" s="235"/>
      <c r="D554" s="236"/>
      <c r="E554" s="237"/>
      <c r="F554" s="238"/>
      <c r="G554" s="235"/>
      <c r="H554" s="235"/>
      <c r="I554" s="205"/>
      <c r="J554" s="205"/>
      <c r="K554" s="205"/>
      <c r="L554" s="205"/>
      <c r="M554" s="239"/>
      <c r="N554" s="235"/>
      <c r="O554" s="240"/>
      <c r="P554" s="238"/>
      <c r="Q554" s="240"/>
      <c r="R554" s="241"/>
      <c r="S554" s="240"/>
      <c r="T554" s="240"/>
      <c r="U554" s="66"/>
    </row>
    <row r="555" spans="2:21" x14ac:dyDescent="0.25">
      <c r="B555" s="66"/>
      <c r="C555" s="235"/>
      <c r="D555" s="236"/>
      <c r="E555" s="237"/>
      <c r="F555" s="238"/>
      <c r="G555" s="235"/>
      <c r="H555" s="235"/>
      <c r="I555" s="205"/>
      <c r="J555" s="205"/>
      <c r="K555" s="205"/>
      <c r="L555" s="205"/>
      <c r="M555" s="239"/>
      <c r="N555" s="235"/>
      <c r="O555" s="240"/>
      <c r="P555" s="238"/>
      <c r="Q555" s="240"/>
      <c r="R555" s="241"/>
      <c r="S555" s="240"/>
      <c r="T555" s="240"/>
      <c r="U555" s="66"/>
    </row>
    <row r="556" spans="2:21" x14ac:dyDescent="0.25">
      <c r="B556" s="66"/>
      <c r="C556" s="235"/>
      <c r="D556" s="236"/>
      <c r="E556" s="237"/>
      <c r="F556" s="238"/>
      <c r="G556" s="235"/>
      <c r="H556" s="235"/>
      <c r="I556" s="205"/>
      <c r="J556" s="205"/>
      <c r="K556" s="205"/>
      <c r="L556" s="205"/>
      <c r="M556" s="239"/>
      <c r="N556" s="235"/>
      <c r="O556" s="240"/>
      <c r="P556" s="238"/>
      <c r="Q556" s="240"/>
      <c r="R556" s="241"/>
      <c r="S556" s="240"/>
      <c r="T556" s="240"/>
      <c r="U556" s="66"/>
    </row>
    <row r="557" spans="2:21" x14ac:dyDescent="0.25">
      <c r="B557" s="66"/>
      <c r="C557" s="235"/>
      <c r="D557" s="236"/>
      <c r="E557" s="237"/>
      <c r="F557" s="238"/>
      <c r="G557" s="235"/>
      <c r="H557" s="235"/>
      <c r="I557" s="205"/>
      <c r="J557" s="205"/>
      <c r="K557" s="205"/>
      <c r="L557" s="205"/>
      <c r="M557" s="239"/>
      <c r="N557" s="235"/>
      <c r="O557" s="240"/>
      <c r="P557" s="238"/>
      <c r="Q557" s="240"/>
      <c r="R557" s="241"/>
      <c r="S557" s="240"/>
      <c r="T557" s="240"/>
      <c r="U557" s="66"/>
    </row>
    <row r="558" spans="2:21" x14ac:dyDescent="0.25">
      <c r="B558" s="66"/>
      <c r="C558" s="235"/>
      <c r="D558" s="236"/>
      <c r="E558" s="237"/>
      <c r="F558" s="238"/>
      <c r="G558" s="235"/>
      <c r="H558" s="235"/>
      <c r="I558" s="205"/>
      <c r="J558" s="205"/>
      <c r="K558" s="205"/>
      <c r="L558" s="205"/>
      <c r="M558" s="239"/>
      <c r="N558" s="235"/>
      <c r="O558" s="240"/>
      <c r="P558" s="238"/>
      <c r="Q558" s="240"/>
      <c r="R558" s="241"/>
      <c r="S558" s="240"/>
      <c r="T558" s="240"/>
      <c r="U558" s="66"/>
    </row>
    <row r="559" spans="2:21" x14ac:dyDescent="0.25">
      <c r="B559" s="66"/>
      <c r="C559" s="235"/>
      <c r="D559" s="236"/>
      <c r="E559" s="237"/>
      <c r="F559" s="238"/>
      <c r="G559" s="235"/>
      <c r="H559" s="235"/>
      <c r="I559" s="205"/>
      <c r="J559" s="205"/>
      <c r="K559" s="205"/>
      <c r="L559" s="205"/>
      <c r="M559" s="239"/>
      <c r="N559" s="235"/>
      <c r="O559" s="240"/>
      <c r="P559" s="238"/>
      <c r="Q559" s="240"/>
      <c r="R559" s="241"/>
      <c r="S559" s="240"/>
      <c r="T559" s="240"/>
      <c r="U559" s="66"/>
    </row>
    <row r="560" spans="2:21" x14ac:dyDescent="0.25">
      <c r="B560" s="66"/>
      <c r="C560" s="235"/>
      <c r="D560" s="236"/>
      <c r="E560" s="237"/>
      <c r="F560" s="238"/>
      <c r="G560" s="235"/>
      <c r="H560" s="235"/>
      <c r="I560" s="205"/>
      <c r="J560" s="205"/>
      <c r="K560" s="205"/>
      <c r="L560" s="205"/>
      <c r="M560" s="239"/>
      <c r="N560" s="235"/>
      <c r="O560" s="240"/>
      <c r="P560" s="238"/>
      <c r="Q560" s="240"/>
      <c r="R560" s="241"/>
      <c r="S560" s="240"/>
      <c r="T560" s="240"/>
      <c r="U560" s="66"/>
    </row>
    <row r="561" spans="2:21" x14ac:dyDescent="0.25">
      <c r="B561" s="66"/>
      <c r="C561" s="235"/>
      <c r="D561" s="236"/>
      <c r="E561" s="237"/>
      <c r="F561" s="238"/>
      <c r="G561" s="235"/>
      <c r="H561" s="235"/>
      <c r="I561" s="205"/>
      <c r="J561" s="205"/>
      <c r="K561" s="205"/>
      <c r="L561" s="205"/>
      <c r="M561" s="239"/>
      <c r="N561" s="235"/>
      <c r="O561" s="240"/>
      <c r="P561" s="238"/>
      <c r="Q561" s="240"/>
      <c r="R561" s="241"/>
      <c r="S561" s="240"/>
      <c r="T561" s="240"/>
      <c r="U561" s="66"/>
    </row>
    <row r="562" spans="2:21" x14ac:dyDescent="0.25">
      <c r="B562" s="66"/>
      <c r="C562" s="235"/>
      <c r="D562" s="236"/>
      <c r="E562" s="237"/>
      <c r="F562" s="238"/>
      <c r="G562" s="235"/>
      <c r="H562" s="235"/>
      <c r="I562" s="205"/>
      <c r="J562" s="205"/>
      <c r="K562" s="205"/>
      <c r="L562" s="205"/>
      <c r="M562" s="239"/>
      <c r="N562" s="235"/>
      <c r="O562" s="240"/>
      <c r="P562" s="238"/>
      <c r="Q562" s="240"/>
      <c r="R562" s="241"/>
      <c r="S562" s="240"/>
      <c r="T562" s="240"/>
      <c r="U562" s="66"/>
    </row>
    <row r="563" spans="2:21" x14ac:dyDescent="0.25">
      <c r="B563" s="66"/>
      <c r="C563" s="235"/>
      <c r="D563" s="236"/>
      <c r="E563" s="237"/>
      <c r="F563" s="238"/>
      <c r="G563" s="235"/>
      <c r="H563" s="235"/>
      <c r="I563" s="205"/>
      <c r="J563" s="205"/>
      <c r="K563" s="205"/>
      <c r="L563" s="205"/>
      <c r="M563" s="239"/>
      <c r="N563" s="235"/>
      <c r="O563" s="240"/>
      <c r="P563" s="238"/>
      <c r="Q563" s="240"/>
      <c r="R563" s="241"/>
      <c r="S563" s="240"/>
      <c r="T563" s="240"/>
      <c r="U563" s="66"/>
    </row>
    <row r="564" spans="2:21" x14ac:dyDescent="0.25">
      <c r="B564" s="66"/>
      <c r="C564" s="235"/>
      <c r="D564" s="236"/>
      <c r="E564" s="237"/>
      <c r="F564" s="238"/>
      <c r="G564" s="235"/>
      <c r="H564" s="235"/>
      <c r="I564" s="205"/>
      <c r="J564" s="205"/>
      <c r="K564" s="205"/>
      <c r="L564" s="205"/>
      <c r="M564" s="239"/>
      <c r="N564" s="235"/>
      <c r="O564" s="240"/>
      <c r="P564" s="238"/>
      <c r="Q564" s="240"/>
      <c r="R564" s="241"/>
      <c r="S564" s="240"/>
      <c r="T564" s="240"/>
      <c r="U564" s="66"/>
    </row>
    <row r="565" spans="2:21" x14ac:dyDescent="0.25">
      <c r="B565" s="66"/>
      <c r="C565" s="235"/>
      <c r="D565" s="236"/>
      <c r="E565" s="237"/>
      <c r="F565" s="238"/>
      <c r="G565" s="235"/>
      <c r="H565" s="235"/>
      <c r="I565" s="205"/>
      <c r="J565" s="205"/>
      <c r="K565" s="205"/>
      <c r="L565" s="205"/>
      <c r="M565" s="239"/>
      <c r="N565" s="235"/>
      <c r="O565" s="240"/>
      <c r="P565" s="238"/>
      <c r="Q565" s="240"/>
      <c r="R565" s="241"/>
      <c r="S565" s="240"/>
      <c r="T565" s="240"/>
      <c r="U565" s="66"/>
    </row>
    <row r="566" spans="2:21" x14ac:dyDescent="0.25">
      <c r="B566" s="66"/>
      <c r="C566" s="235"/>
      <c r="D566" s="236"/>
      <c r="E566" s="237"/>
      <c r="F566" s="238"/>
      <c r="G566" s="235"/>
      <c r="H566" s="235"/>
      <c r="I566" s="205"/>
      <c r="J566" s="205"/>
      <c r="K566" s="205"/>
      <c r="L566" s="205"/>
      <c r="M566" s="239"/>
      <c r="N566" s="235"/>
      <c r="O566" s="240"/>
      <c r="P566" s="238"/>
      <c r="Q566" s="240"/>
      <c r="R566" s="241"/>
      <c r="S566" s="240"/>
      <c r="T566" s="240"/>
      <c r="U566" s="66"/>
    </row>
    <row r="567" spans="2:21" x14ac:dyDescent="0.25">
      <c r="B567" s="66"/>
      <c r="C567" s="235"/>
      <c r="D567" s="236"/>
      <c r="E567" s="237"/>
      <c r="F567" s="238"/>
      <c r="G567" s="235"/>
      <c r="H567" s="235"/>
      <c r="I567" s="205"/>
      <c r="J567" s="205"/>
      <c r="K567" s="205"/>
      <c r="L567" s="205"/>
      <c r="M567" s="239"/>
      <c r="N567" s="235"/>
      <c r="O567" s="240"/>
      <c r="P567" s="238"/>
      <c r="Q567" s="240"/>
      <c r="R567" s="241"/>
      <c r="S567" s="240"/>
      <c r="T567" s="240"/>
      <c r="U567" s="66"/>
    </row>
    <row r="568" spans="2:21" x14ac:dyDescent="0.25">
      <c r="B568" s="66"/>
      <c r="C568" s="235"/>
      <c r="D568" s="236"/>
      <c r="E568" s="237"/>
      <c r="F568" s="238"/>
      <c r="G568" s="235"/>
      <c r="H568" s="235"/>
      <c r="I568" s="205"/>
      <c r="J568" s="205"/>
      <c r="K568" s="205"/>
      <c r="L568" s="205"/>
      <c r="M568" s="239"/>
      <c r="N568" s="235"/>
      <c r="O568" s="240"/>
      <c r="P568" s="238"/>
      <c r="Q568" s="240"/>
      <c r="R568" s="241"/>
      <c r="S568" s="240"/>
      <c r="T568" s="240"/>
      <c r="U568" s="66"/>
    </row>
    <row r="569" spans="2:21" x14ac:dyDescent="0.25">
      <c r="B569" s="66"/>
      <c r="C569" s="235"/>
      <c r="D569" s="236"/>
      <c r="E569" s="237"/>
      <c r="F569" s="238"/>
      <c r="G569" s="235"/>
      <c r="H569" s="235"/>
      <c r="I569" s="205"/>
      <c r="J569" s="205"/>
      <c r="K569" s="205"/>
      <c r="L569" s="205"/>
      <c r="M569" s="239"/>
      <c r="N569" s="235"/>
      <c r="O569" s="240"/>
      <c r="P569" s="238"/>
      <c r="Q569" s="240"/>
      <c r="R569" s="241"/>
      <c r="S569" s="240"/>
      <c r="T569" s="240"/>
      <c r="U569" s="66"/>
    </row>
    <row r="570" spans="2:21" x14ac:dyDescent="0.25">
      <c r="B570" s="66"/>
      <c r="C570" s="235"/>
      <c r="D570" s="236"/>
      <c r="E570" s="237"/>
      <c r="F570" s="238"/>
      <c r="G570" s="235"/>
      <c r="H570" s="235"/>
      <c r="I570" s="205"/>
      <c r="J570" s="205"/>
      <c r="K570" s="205"/>
      <c r="L570" s="205"/>
      <c r="M570" s="239"/>
      <c r="N570" s="235"/>
      <c r="O570" s="240"/>
      <c r="P570" s="238"/>
      <c r="Q570" s="240"/>
      <c r="R570" s="241"/>
      <c r="S570" s="240"/>
      <c r="T570" s="240"/>
      <c r="U570" s="66"/>
    </row>
    <row r="571" spans="2:21" x14ac:dyDescent="0.25">
      <c r="B571" s="66"/>
      <c r="C571" s="235"/>
      <c r="D571" s="236"/>
      <c r="E571" s="237"/>
      <c r="F571" s="238"/>
      <c r="G571" s="235"/>
      <c r="H571" s="235"/>
      <c r="I571" s="205"/>
      <c r="J571" s="205"/>
      <c r="K571" s="205"/>
      <c r="L571" s="205"/>
      <c r="M571" s="239"/>
      <c r="N571" s="235"/>
      <c r="O571" s="240"/>
      <c r="P571" s="238"/>
      <c r="Q571" s="240"/>
      <c r="R571" s="241"/>
      <c r="S571" s="240"/>
      <c r="T571" s="240"/>
      <c r="U571" s="66"/>
    </row>
    <row r="572" spans="2:21" x14ac:dyDescent="0.25">
      <c r="B572" s="66"/>
      <c r="C572" s="235"/>
      <c r="D572" s="236"/>
      <c r="E572" s="237"/>
      <c r="F572" s="238"/>
      <c r="G572" s="235"/>
      <c r="H572" s="235"/>
      <c r="I572" s="205"/>
      <c r="J572" s="205"/>
      <c r="K572" s="205"/>
      <c r="L572" s="205"/>
      <c r="M572" s="239"/>
      <c r="N572" s="235"/>
      <c r="O572" s="240"/>
      <c r="P572" s="238"/>
      <c r="Q572" s="240"/>
      <c r="R572" s="241"/>
      <c r="S572" s="240"/>
      <c r="T572" s="240"/>
      <c r="U572" s="66"/>
    </row>
    <row r="573" spans="2:21" x14ac:dyDescent="0.25">
      <c r="B573" s="66"/>
      <c r="C573" s="235"/>
      <c r="D573" s="236"/>
      <c r="E573" s="237"/>
      <c r="F573" s="238"/>
      <c r="G573" s="235"/>
      <c r="H573" s="235"/>
      <c r="I573" s="205"/>
      <c r="J573" s="205"/>
      <c r="K573" s="205"/>
      <c r="L573" s="205"/>
      <c r="M573" s="239"/>
      <c r="N573" s="235"/>
      <c r="O573" s="240"/>
      <c r="P573" s="238"/>
      <c r="Q573" s="240"/>
      <c r="R573" s="241"/>
      <c r="S573" s="240"/>
      <c r="T573" s="240"/>
      <c r="U573" s="66"/>
    </row>
    <row r="574" spans="2:21" x14ac:dyDescent="0.25">
      <c r="B574" s="66"/>
      <c r="C574" s="235"/>
      <c r="D574" s="236"/>
      <c r="E574" s="237"/>
      <c r="F574" s="238"/>
      <c r="G574" s="235"/>
      <c r="H574" s="235"/>
      <c r="I574" s="205"/>
      <c r="J574" s="205"/>
      <c r="K574" s="205"/>
      <c r="L574" s="205"/>
      <c r="M574" s="239"/>
      <c r="N574" s="235"/>
      <c r="O574" s="240"/>
      <c r="P574" s="238"/>
      <c r="Q574" s="240"/>
      <c r="R574" s="241"/>
      <c r="S574" s="240"/>
      <c r="T574" s="240"/>
      <c r="U574" s="66"/>
    </row>
    <row r="575" spans="2:21" x14ac:dyDescent="0.25">
      <c r="B575" s="66"/>
      <c r="C575" s="235"/>
      <c r="D575" s="236"/>
      <c r="E575" s="237"/>
      <c r="F575" s="238"/>
      <c r="G575" s="235"/>
      <c r="H575" s="235"/>
      <c r="I575" s="205"/>
      <c r="J575" s="205"/>
      <c r="K575" s="205"/>
      <c r="L575" s="205"/>
      <c r="M575" s="239"/>
      <c r="N575" s="235"/>
      <c r="O575" s="240"/>
      <c r="P575" s="238"/>
      <c r="Q575" s="240"/>
      <c r="R575" s="241"/>
      <c r="S575" s="240"/>
      <c r="T575" s="240"/>
      <c r="U575" s="66"/>
    </row>
    <row r="576" spans="2:21" x14ac:dyDescent="0.25">
      <c r="B576" s="66"/>
      <c r="C576" s="235"/>
      <c r="D576" s="236"/>
      <c r="E576" s="237"/>
      <c r="F576" s="238"/>
      <c r="G576" s="235"/>
      <c r="H576" s="235"/>
      <c r="I576" s="205"/>
      <c r="J576" s="205"/>
      <c r="K576" s="205"/>
      <c r="L576" s="205"/>
      <c r="M576" s="239"/>
      <c r="N576" s="235"/>
      <c r="O576" s="240"/>
      <c r="P576" s="238"/>
      <c r="Q576" s="240"/>
      <c r="R576" s="241"/>
      <c r="S576" s="240"/>
      <c r="T576" s="240"/>
      <c r="U576" s="66"/>
    </row>
    <row r="577" spans="2:21" x14ac:dyDescent="0.25">
      <c r="B577" s="66"/>
      <c r="C577" s="235"/>
      <c r="D577" s="236"/>
      <c r="E577" s="237"/>
      <c r="F577" s="238"/>
      <c r="G577" s="235"/>
      <c r="H577" s="235"/>
      <c r="I577" s="205"/>
      <c r="J577" s="205"/>
      <c r="K577" s="205"/>
      <c r="L577" s="205"/>
      <c r="M577" s="239"/>
      <c r="N577" s="235"/>
      <c r="O577" s="240"/>
      <c r="P577" s="238"/>
      <c r="Q577" s="240"/>
      <c r="R577" s="241"/>
      <c r="S577" s="240"/>
      <c r="T577" s="240"/>
      <c r="U577" s="66"/>
    </row>
    <row r="578" spans="2:21" x14ac:dyDescent="0.25">
      <c r="B578" s="66"/>
      <c r="C578" s="235"/>
      <c r="D578" s="236"/>
      <c r="E578" s="237"/>
      <c r="F578" s="238"/>
      <c r="G578" s="235"/>
      <c r="H578" s="235"/>
      <c r="I578" s="205"/>
      <c r="J578" s="205"/>
      <c r="K578" s="205"/>
      <c r="L578" s="205"/>
      <c r="M578" s="239"/>
      <c r="N578" s="235"/>
      <c r="O578" s="240"/>
      <c r="P578" s="238"/>
      <c r="Q578" s="240"/>
      <c r="R578" s="241"/>
      <c r="S578" s="240"/>
      <c r="T578" s="240"/>
      <c r="U578" s="66"/>
    </row>
    <row r="579" spans="2:21" x14ac:dyDescent="0.25">
      <c r="B579" s="66"/>
      <c r="C579" s="235"/>
      <c r="D579" s="236"/>
      <c r="E579" s="237"/>
      <c r="F579" s="238"/>
      <c r="G579" s="235"/>
      <c r="H579" s="235"/>
      <c r="I579" s="205"/>
      <c r="J579" s="205"/>
      <c r="K579" s="205"/>
      <c r="L579" s="205"/>
      <c r="M579" s="239"/>
      <c r="N579" s="235"/>
      <c r="O579" s="240"/>
      <c r="P579" s="238"/>
      <c r="Q579" s="240"/>
      <c r="R579" s="241"/>
      <c r="S579" s="240"/>
      <c r="T579" s="240"/>
      <c r="U579" s="66"/>
    </row>
    <row r="580" spans="2:21" x14ac:dyDescent="0.25">
      <c r="B580" s="66"/>
      <c r="C580" s="235"/>
      <c r="D580" s="236"/>
      <c r="E580" s="237"/>
      <c r="F580" s="238"/>
      <c r="G580" s="235"/>
      <c r="H580" s="235"/>
      <c r="I580" s="205"/>
      <c r="J580" s="205"/>
      <c r="K580" s="205"/>
      <c r="L580" s="205"/>
      <c r="M580" s="239"/>
      <c r="N580" s="235"/>
      <c r="O580" s="240"/>
      <c r="P580" s="238"/>
      <c r="Q580" s="240"/>
      <c r="R580" s="241"/>
      <c r="S580" s="240"/>
      <c r="T580" s="240"/>
      <c r="U580" s="66"/>
    </row>
    <row r="581" spans="2:21" x14ac:dyDescent="0.25">
      <c r="B581" s="66"/>
      <c r="C581" s="235"/>
      <c r="D581" s="236"/>
      <c r="E581" s="237"/>
      <c r="F581" s="238"/>
      <c r="G581" s="235"/>
      <c r="H581" s="235"/>
      <c r="I581" s="205"/>
      <c r="J581" s="205"/>
      <c r="K581" s="205"/>
      <c r="L581" s="205"/>
      <c r="M581" s="239"/>
      <c r="N581" s="235"/>
      <c r="O581" s="240"/>
      <c r="P581" s="238"/>
      <c r="Q581" s="240"/>
      <c r="R581" s="241"/>
      <c r="S581" s="240"/>
      <c r="T581" s="240"/>
      <c r="U581" s="66"/>
    </row>
    <row r="582" spans="2:21" x14ac:dyDescent="0.25">
      <c r="B582" s="66"/>
      <c r="C582" s="235"/>
      <c r="D582" s="236"/>
      <c r="E582" s="237"/>
      <c r="F582" s="238"/>
      <c r="G582" s="235"/>
      <c r="H582" s="235"/>
      <c r="I582" s="205"/>
      <c r="J582" s="205"/>
      <c r="K582" s="205"/>
      <c r="L582" s="205"/>
      <c r="M582" s="239"/>
      <c r="N582" s="235"/>
      <c r="O582" s="240"/>
      <c r="P582" s="238"/>
      <c r="Q582" s="240"/>
      <c r="R582" s="241"/>
      <c r="S582" s="240"/>
      <c r="T582" s="240"/>
      <c r="U582" s="66"/>
    </row>
    <row r="583" spans="2:21" x14ac:dyDescent="0.25">
      <c r="B583" s="66"/>
      <c r="C583" s="235"/>
      <c r="D583" s="236"/>
      <c r="E583" s="237"/>
      <c r="F583" s="238"/>
      <c r="G583" s="235"/>
      <c r="H583" s="235"/>
      <c r="I583" s="205"/>
      <c r="J583" s="205"/>
      <c r="K583" s="205"/>
      <c r="L583" s="205"/>
      <c r="M583" s="239"/>
      <c r="N583" s="235"/>
      <c r="O583" s="240"/>
      <c r="P583" s="238"/>
      <c r="Q583" s="240"/>
      <c r="R583" s="241"/>
      <c r="S583" s="240"/>
      <c r="T583" s="240"/>
      <c r="U583" s="66"/>
    </row>
    <row r="584" spans="2:21" x14ac:dyDescent="0.25">
      <c r="B584" s="66"/>
      <c r="C584" s="235"/>
      <c r="D584" s="236"/>
      <c r="E584" s="237"/>
      <c r="F584" s="238"/>
      <c r="G584" s="235"/>
      <c r="H584" s="235"/>
      <c r="I584" s="205"/>
      <c r="J584" s="205"/>
      <c r="K584" s="205"/>
      <c r="L584" s="205"/>
      <c r="M584" s="239"/>
      <c r="N584" s="235"/>
      <c r="O584" s="240"/>
      <c r="P584" s="238"/>
      <c r="Q584" s="240"/>
      <c r="R584" s="241"/>
      <c r="S584" s="240"/>
      <c r="T584" s="240"/>
      <c r="U584" s="66"/>
    </row>
    <row r="585" spans="2:21" x14ac:dyDescent="0.25">
      <c r="B585" s="66"/>
      <c r="C585" s="235"/>
      <c r="D585" s="236"/>
      <c r="E585" s="237"/>
      <c r="F585" s="238"/>
      <c r="G585" s="235"/>
      <c r="H585" s="235"/>
      <c r="I585" s="205"/>
      <c r="J585" s="205"/>
      <c r="K585" s="205"/>
      <c r="L585" s="205"/>
      <c r="M585" s="239"/>
      <c r="N585" s="235"/>
      <c r="O585" s="240"/>
      <c r="P585" s="238"/>
      <c r="Q585" s="240"/>
      <c r="R585" s="241"/>
      <c r="S585" s="240"/>
      <c r="T585" s="240"/>
      <c r="U585" s="66"/>
    </row>
    <row r="586" spans="2:21" x14ac:dyDescent="0.25">
      <c r="B586" s="66"/>
      <c r="C586" s="235"/>
      <c r="D586" s="236"/>
      <c r="E586" s="237"/>
      <c r="F586" s="238"/>
      <c r="G586" s="235"/>
      <c r="H586" s="235"/>
      <c r="I586" s="205"/>
      <c r="J586" s="205"/>
      <c r="K586" s="205"/>
      <c r="L586" s="205"/>
      <c r="M586" s="239"/>
      <c r="N586" s="235"/>
      <c r="O586" s="240"/>
      <c r="P586" s="238"/>
      <c r="Q586" s="240"/>
      <c r="R586" s="241"/>
      <c r="S586" s="240"/>
      <c r="T586" s="240"/>
      <c r="U586" s="66"/>
    </row>
    <row r="587" spans="2:21" x14ac:dyDescent="0.25">
      <c r="B587" s="66"/>
      <c r="C587" s="235"/>
      <c r="D587" s="236"/>
      <c r="E587" s="237"/>
      <c r="F587" s="238"/>
      <c r="G587" s="235"/>
      <c r="H587" s="235"/>
      <c r="I587" s="205"/>
      <c r="J587" s="205"/>
      <c r="K587" s="205"/>
      <c r="L587" s="205"/>
      <c r="M587" s="239"/>
      <c r="N587" s="235"/>
      <c r="O587" s="240"/>
      <c r="P587" s="238"/>
      <c r="Q587" s="240"/>
      <c r="R587" s="241"/>
      <c r="S587" s="240"/>
      <c r="T587" s="240"/>
      <c r="U587" s="66"/>
    </row>
    <row r="588" spans="2:21" x14ac:dyDescent="0.25">
      <c r="B588" s="66"/>
      <c r="C588" s="235"/>
      <c r="D588" s="236"/>
      <c r="E588" s="237"/>
      <c r="F588" s="238"/>
      <c r="G588" s="235"/>
      <c r="H588" s="235"/>
      <c r="I588" s="205"/>
      <c r="J588" s="205"/>
      <c r="K588" s="205"/>
      <c r="L588" s="205"/>
      <c r="M588" s="239"/>
      <c r="N588" s="235"/>
      <c r="O588" s="240"/>
      <c r="P588" s="238"/>
      <c r="Q588" s="240"/>
      <c r="R588" s="241"/>
      <c r="S588" s="240"/>
      <c r="T588" s="240"/>
      <c r="U588" s="66"/>
    </row>
    <row r="589" spans="2:21" x14ac:dyDescent="0.25">
      <c r="B589" s="66"/>
      <c r="C589" s="235"/>
      <c r="D589" s="236"/>
      <c r="E589" s="237"/>
      <c r="F589" s="238"/>
      <c r="G589" s="235"/>
      <c r="H589" s="235"/>
      <c r="I589" s="205"/>
      <c r="J589" s="205"/>
      <c r="K589" s="205"/>
      <c r="L589" s="205"/>
      <c r="M589" s="239"/>
      <c r="N589" s="235"/>
      <c r="O589" s="240"/>
      <c r="P589" s="238"/>
      <c r="Q589" s="240"/>
      <c r="R589" s="241"/>
      <c r="S589" s="240"/>
      <c r="T589" s="240"/>
      <c r="U589" s="66"/>
    </row>
    <row r="590" spans="2:21" x14ac:dyDescent="0.25">
      <c r="B590" s="66"/>
      <c r="C590" s="235"/>
      <c r="D590" s="236"/>
      <c r="E590" s="237"/>
      <c r="F590" s="238"/>
      <c r="G590" s="235"/>
      <c r="H590" s="235"/>
      <c r="I590" s="205"/>
      <c r="J590" s="205"/>
      <c r="K590" s="205"/>
      <c r="L590" s="205"/>
      <c r="M590" s="239"/>
      <c r="N590" s="235"/>
      <c r="O590" s="240"/>
      <c r="P590" s="238"/>
      <c r="Q590" s="240"/>
      <c r="R590" s="241"/>
      <c r="S590" s="240"/>
      <c r="T590" s="240"/>
      <c r="U590" s="66"/>
    </row>
    <row r="591" spans="2:21" x14ac:dyDescent="0.25">
      <c r="B591" s="66"/>
      <c r="C591" s="235"/>
      <c r="D591" s="236"/>
      <c r="E591" s="237"/>
      <c r="F591" s="238"/>
      <c r="G591" s="235"/>
      <c r="H591" s="235"/>
      <c r="I591" s="205"/>
      <c r="J591" s="205"/>
      <c r="K591" s="205"/>
      <c r="L591" s="205"/>
      <c r="M591" s="239"/>
      <c r="N591" s="235"/>
      <c r="O591" s="240"/>
      <c r="P591" s="238"/>
      <c r="Q591" s="240"/>
      <c r="R591" s="241"/>
      <c r="S591" s="240"/>
      <c r="T591" s="240"/>
      <c r="U591" s="66"/>
    </row>
    <row r="592" spans="2:21" x14ac:dyDescent="0.25">
      <c r="B592" s="66"/>
      <c r="C592" s="235"/>
      <c r="D592" s="236"/>
      <c r="E592" s="237"/>
      <c r="F592" s="238"/>
      <c r="G592" s="235"/>
      <c r="H592" s="235"/>
      <c r="I592" s="205"/>
      <c r="J592" s="205"/>
      <c r="K592" s="205"/>
      <c r="L592" s="205"/>
      <c r="M592" s="239"/>
      <c r="N592" s="235"/>
      <c r="O592" s="240"/>
      <c r="P592" s="238"/>
      <c r="Q592" s="240"/>
      <c r="R592" s="241"/>
      <c r="S592" s="240"/>
      <c r="T592" s="240"/>
      <c r="U592" s="66"/>
    </row>
    <row r="593" spans="2:21" x14ac:dyDescent="0.25">
      <c r="B593" s="66"/>
      <c r="C593" s="235"/>
      <c r="D593" s="236"/>
      <c r="E593" s="237"/>
      <c r="F593" s="238"/>
      <c r="G593" s="235"/>
      <c r="H593" s="235"/>
      <c r="I593" s="205"/>
      <c r="J593" s="205"/>
      <c r="K593" s="205"/>
      <c r="L593" s="205"/>
      <c r="M593" s="239"/>
      <c r="N593" s="235"/>
      <c r="O593" s="240"/>
      <c r="P593" s="238"/>
      <c r="Q593" s="240"/>
      <c r="R593" s="241"/>
      <c r="S593" s="240"/>
      <c r="T593" s="240"/>
      <c r="U593" s="66"/>
    </row>
    <row r="594" spans="2:21" x14ac:dyDescent="0.25">
      <c r="B594" s="66"/>
      <c r="C594" s="235"/>
      <c r="D594" s="236"/>
      <c r="E594" s="237"/>
      <c r="F594" s="238"/>
      <c r="G594" s="235"/>
      <c r="H594" s="235"/>
      <c r="I594" s="205"/>
      <c r="J594" s="205"/>
      <c r="K594" s="205"/>
      <c r="L594" s="205"/>
      <c r="M594" s="239"/>
      <c r="N594" s="235"/>
      <c r="O594" s="240"/>
      <c r="P594" s="238"/>
      <c r="Q594" s="240"/>
      <c r="R594" s="241"/>
      <c r="S594" s="240"/>
      <c r="T594" s="240"/>
      <c r="U594" s="66"/>
    </row>
    <row r="595" spans="2:21" x14ac:dyDescent="0.25">
      <c r="B595" s="66"/>
      <c r="C595" s="235"/>
      <c r="D595" s="236"/>
      <c r="E595" s="237"/>
      <c r="F595" s="238"/>
      <c r="G595" s="235"/>
      <c r="H595" s="235"/>
      <c r="I595" s="205"/>
      <c r="J595" s="205"/>
      <c r="K595" s="205"/>
      <c r="L595" s="205"/>
      <c r="M595" s="239"/>
      <c r="N595" s="235"/>
      <c r="O595" s="240"/>
      <c r="P595" s="238"/>
      <c r="Q595" s="240"/>
      <c r="R595" s="241"/>
      <c r="S595" s="240"/>
      <c r="T595" s="240"/>
      <c r="U595" s="66"/>
    </row>
    <row r="596" spans="2:21" x14ac:dyDescent="0.25">
      <c r="B596" s="66"/>
      <c r="C596" s="235"/>
      <c r="D596" s="236"/>
      <c r="E596" s="237"/>
      <c r="F596" s="238"/>
      <c r="G596" s="235"/>
      <c r="H596" s="235"/>
      <c r="I596" s="205"/>
      <c r="J596" s="205"/>
      <c r="K596" s="205"/>
      <c r="L596" s="205"/>
      <c r="M596" s="239"/>
      <c r="N596" s="235"/>
      <c r="O596" s="240"/>
      <c r="P596" s="238"/>
      <c r="Q596" s="240"/>
      <c r="R596" s="241"/>
      <c r="S596" s="240"/>
      <c r="T596" s="240"/>
      <c r="U596" s="66"/>
    </row>
    <row r="597" spans="2:21" x14ac:dyDescent="0.25">
      <c r="B597" s="66"/>
      <c r="C597" s="235"/>
      <c r="D597" s="236"/>
      <c r="E597" s="237"/>
      <c r="F597" s="238"/>
      <c r="G597" s="235"/>
      <c r="H597" s="235"/>
      <c r="I597" s="205"/>
      <c r="J597" s="205"/>
      <c r="K597" s="205"/>
      <c r="L597" s="205"/>
      <c r="M597" s="239"/>
      <c r="N597" s="235"/>
      <c r="O597" s="240"/>
      <c r="P597" s="238"/>
      <c r="Q597" s="240"/>
      <c r="R597" s="241"/>
      <c r="S597" s="240"/>
      <c r="T597" s="240"/>
      <c r="U597" s="66"/>
    </row>
    <row r="598" spans="2:21" x14ac:dyDescent="0.25">
      <c r="B598" s="66"/>
      <c r="C598" s="235"/>
      <c r="D598" s="236"/>
      <c r="E598" s="237"/>
      <c r="F598" s="238"/>
      <c r="G598" s="235"/>
      <c r="H598" s="235"/>
      <c r="I598" s="205"/>
      <c r="J598" s="205"/>
      <c r="K598" s="205"/>
      <c r="L598" s="205"/>
      <c r="M598" s="239"/>
      <c r="N598" s="235"/>
      <c r="O598" s="240"/>
      <c r="P598" s="238"/>
      <c r="Q598" s="240"/>
      <c r="R598" s="241"/>
      <c r="S598" s="240"/>
      <c r="T598" s="240"/>
      <c r="U598" s="66"/>
    </row>
    <row r="599" spans="2:21" x14ac:dyDescent="0.25">
      <c r="B599" s="66"/>
      <c r="C599" s="235"/>
      <c r="D599" s="236"/>
      <c r="E599" s="237"/>
      <c r="F599" s="238"/>
      <c r="G599" s="235"/>
      <c r="H599" s="235"/>
      <c r="I599" s="205"/>
      <c r="J599" s="205"/>
      <c r="K599" s="205"/>
      <c r="L599" s="205"/>
      <c r="M599" s="239"/>
      <c r="N599" s="235"/>
      <c r="O599" s="240"/>
      <c r="P599" s="238"/>
      <c r="Q599" s="240"/>
      <c r="R599" s="241"/>
      <c r="S599" s="240"/>
      <c r="T599" s="240"/>
      <c r="U599" s="66"/>
    </row>
    <row r="600" spans="2:21" x14ac:dyDescent="0.25">
      <c r="B600" s="66"/>
      <c r="C600" s="235"/>
      <c r="D600" s="236"/>
      <c r="E600" s="237"/>
      <c r="F600" s="238"/>
      <c r="G600" s="235"/>
      <c r="H600" s="235"/>
      <c r="I600" s="205"/>
      <c r="J600" s="205"/>
      <c r="K600" s="205"/>
      <c r="L600" s="205"/>
      <c r="M600" s="239"/>
      <c r="N600" s="235"/>
      <c r="O600" s="240"/>
      <c r="P600" s="238"/>
      <c r="Q600" s="240"/>
      <c r="R600" s="241"/>
      <c r="S600" s="240"/>
      <c r="T600" s="240"/>
      <c r="U600" s="66"/>
    </row>
    <row r="601" spans="2:21" x14ac:dyDescent="0.25">
      <c r="B601" s="66"/>
      <c r="C601" s="235"/>
      <c r="D601" s="236"/>
      <c r="E601" s="237"/>
      <c r="F601" s="238"/>
      <c r="G601" s="235"/>
      <c r="H601" s="235"/>
      <c r="I601" s="205"/>
      <c r="J601" s="205"/>
      <c r="K601" s="205"/>
      <c r="L601" s="205"/>
      <c r="M601" s="239"/>
      <c r="N601" s="235"/>
      <c r="O601" s="240"/>
      <c r="P601" s="238"/>
      <c r="Q601" s="240"/>
      <c r="R601" s="241"/>
      <c r="S601" s="240"/>
      <c r="T601" s="240"/>
      <c r="U601" s="66"/>
    </row>
    <row r="602" spans="2:21" x14ac:dyDescent="0.25">
      <c r="B602" s="66"/>
      <c r="C602" s="235"/>
      <c r="D602" s="236"/>
      <c r="E602" s="237"/>
      <c r="F602" s="238"/>
      <c r="G602" s="235"/>
      <c r="H602" s="235"/>
      <c r="I602" s="205"/>
      <c r="J602" s="205"/>
      <c r="K602" s="205"/>
      <c r="L602" s="205"/>
      <c r="M602" s="239"/>
      <c r="N602" s="235"/>
      <c r="O602" s="240"/>
      <c r="P602" s="238"/>
      <c r="Q602" s="240"/>
      <c r="R602" s="241"/>
      <c r="S602" s="240"/>
      <c r="T602" s="240"/>
      <c r="U602" s="66"/>
    </row>
    <row r="603" spans="2:21" x14ac:dyDescent="0.25">
      <c r="B603" s="66"/>
      <c r="C603" s="235"/>
      <c r="D603" s="236"/>
      <c r="E603" s="237"/>
      <c r="F603" s="238"/>
      <c r="G603" s="235"/>
      <c r="H603" s="235"/>
      <c r="I603" s="205"/>
      <c r="J603" s="205"/>
      <c r="K603" s="205"/>
      <c r="L603" s="205"/>
      <c r="M603" s="239"/>
      <c r="N603" s="235"/>
      <c r="O603" s="240"/>
      <c r="P603" s="238"/>
      <c r="Q603" s="240"/>
      <c r="R603" s="241"/>
      <c r="S603" s="240"/>
      <c r="T603" s="240"/>
      <c r="U603" s="66"/>
    </row>
    <row r="604" spans="2:21" x14ac:dyDescent="0.25">
      <c r="B604" s="66"/>
      <c r="C604" s="235"/>
      <c r="D604" s="236"/>
      <c r="E604" s="237"/>
      <c r="F604" s="238"/>
      <c r="G604" s="235"/>
      <c r="H604" s="235"/>
      <c r="I604" s="205"/>
      <c r="J604" s="205"/>
      <c r="K604" s="205"/>
      <c r="L604" s="205"/>
      <c r="M604" s="239"/>
      <c r="N604" s="235"/>
      <c r="O604" s="240"/>
      <c r="P604" s="238"/>
      <c r="Q604" s="240"/>
      <c r="R604" s="241"/>
      <c r="S604" s="240"/>
      <c r="T604" s="240"/>
      <c r="U604" s="66"/>
    </row>
    <row r="605" spans="2:21" x14ac:dyDescent="0.25">
      <c r="B605" s="66"/>
      <c r="C605" s="235"/>
      <c r="D605" s="236"/>
      <c r="E605" s="237"/>
      <c r="F605" s="238"/>
      <c r="G605" s="235"/>
      <c r="H605" s="235"/>
      <c r="I605" s="205"/>
      <c r="J605" s="205"/>
      <c r="K605" s="205"/>
      <c r="L605" s="205"/>
      <c r="M605" s="239"/>
      <c r="N605" s="235"/>
      <c r="O605" s="240"/>
      <c r="P605" s="238"/>
      <c r="Q605" s="240"/>
      <c r="R605" s="241"/>
      <c r="S605" s="240"/>
      <c r="T605" s="240"/>
      <c r="U605" s="66"/>
    </row>
    <row r="606" spans="2:21" x14ac:dyDescent="0.25">
      <c r="B606" s="66"/>
      <c r="C606" s="235"/>
      <c r="D606" s="236"/>
      <c r="E606" s="237"/>
      <c r="F606" s="238"/>
      <c r="G606" s="235"/>
      <c r="H606" s="235"/>
      <c r="I606" s="205"/>
      <c r="J606" s="205"/>
      <c r="K606" s="205"/>
      <c r="L606" s="205"/>
      <c r="M606" s="239"/>
      <c r="N606" s="235"/>
      <c r="O606" s="240"/>
      <c r="P606" s="238"/>
      <c r="Q606" s="240"/>
      <c r="R606" s="241"/>
      <c r="S606" s="240"/>
      <c r="T606" s="240"/>
      <c r="U606" s="66"/>
    </row>
    <row r="607" spans="2:21" x14ac:dyDescent="0.25">
      <c r="B607" s="66"/>
      <c r="C607" s="235"/>
      <c r="D607" s="236"/>
      <c r="E607" s="237"/>
      <c r="F607" s="238"/>
      <c r="G607" s="235"/>
      <c r="H607" s="235"/>
      <c r="I607" s="205"/>
      <c r="J607" s="205"/>
      <c r="K607" s="205"/>
      <c r="L607" s="205"/>
      <c r="M607" s="239"/>
      <c r="N607" s="235"/>
      <c r="O607" s="240"/>
      <c r="P607" s="238"/>
      <c r="Q607" s="240"/>
      <c r="R607" s="241"/>
      <c r="S607" s="240"/>
      <c r="T607" s="240"/>
      <c r="U607" s="66"/>
    </row>
    <row r="608" spans="2:21" x14ac:dyDescent="0.25">
      <c r="B608" s="66"/>
      <c r="C608" s="235"/>
      <c r="D608" s="236"/>
      <c r="E608" s="237"/>
      <c r="F608" s="238"/>
      <c r="G608" s="235"/>
      <c r="H608" s="235"/>
      <c r="I608" s="205"/>
      <c r="J608" s="205"/>
      <c r="K608" s="205"/>
      <c r="L608" s="205"/>
      <c r="M608" s="239"/>
      <c r="N608" s="235"/>
      <c r="O608" s="240"/>
      <c r="P608" s="238"/>
      <c r="Q608" s="240"/>
      <c r="R608" s="241"/>
      <c r="S608" s="240"/>
      <c r="T608" s="240"/>
      <c r="U608" s="66"/>
    </row>
    <row r="609" spans="2:21" x14ac:dyDescent="0.25">
      <c r="B609" s="66"/>
      <c r="C609" s="235"/>
      <c r="D609" s="236"/>
      <c r="E609" s="237"/>
      <c r="F609" s="238"/>
      <c r="G609" s="235"/>
      <c r="H609" s="235"/>
      <c r="I609" s="205"/>
      <c r="J609" s="205"/>
      <c r="K609" s="205"/>
      <c r="L609" s="205"/>
      <c r="M609" s="239"/>
      <c r="N609" s="235"/>
      <c r="O609" s="240"/>
      <c r="P609" s="238"/>
      <c r="Q609" s="240"/>
      <c r="R609" s="241"/>
      <c r="S609" s="240"/>
      <c r="T609" s="240"/>
      <c r="U609" s="66"/>
    </row>
    <row r="610" spans="2:21" x14ac:dyDescent="0.25">
      <c r="B610" s="66"/>
      <c r="C610" s="235"/>
      <c r="D610" s="236"/>
      <c r="E610" s="237"/>
      <c r="F610" s="238"/>
      <c r="G610" s="235"/>
      <c r="H610" s="235"/>
      <c r="I610" s="205"/>
      <c r="J610" s="205"/>
      <c r="K610" s="205"/>
      <c r="L610" s="205"/>
      <c r="M610" s="239"/>
      <c r="N610" s="235"/>
      <c r="O610" s="240"/>
      <c r="P610" s="238"/>
      <c r="Q610" s="240"/>
      <c r="R610" s="241"/>
      <c r="S610" s="240"/>
      <c r="T610" s="240"/>
      <c r="U610" s="66"/>
    </row>
    <row r="611" spans="2:21" x14ac:dyDescent="0.25">
      <c r="B611" s="66"/>
      <c r="C611" s="235"/>
      <c r="D611" s="236"/>
      <c r="E611" s="237"/>
      <c r="F611" s="238"/>
      <c r="G611" s="235"/>
      <c r="H611" s="235"/>
      <c r="I611" s="205"/>
      <c r="J611" s="205"/>
      <c r="K611" s="205"/>
      <c r="L611" s="205"/>
      <c r="M611" s="239"/>
      <c r="N611" s="235"/>
      <c r="O611" s="240"/>
      <c r="P611" s="238"/>
      <c r="Q611" s="240"/>
      <c r="R611" s="241"/>
      <c r="S611" s="240"/>
      <c r="T611" s="240"/>
      <c r="U611" s="66"/>
    </row>
    <row r="612" spans="2:21" x14ac:dyDescent="0.25">
      <c r="B612" s="66"/>
      <c r="C612" s="235"/>
      <c r="D612" s="236"/>
      <c r="E612" s="237"/>
      <c r="F612" s="238"/>
      <c r="G612" s="235"/>
      <c r="H612" s="235"/>
      <c r="I612" s="205"/>
      <c r="J612" s="205"/>
      <c r="K612" s="205"/>
      <c r="L612" s="205"/>
      <c r="M612" s="239"/>
      <c r="N612" s="235"/>
      <c r="O612" s="240"/>
      <c r="P612" s="238"/>
      <c r="Q612" s="240"/>
      <c r="R612" s="241"/>
      <c r="S612" s="240"/>
      <c r="T612" s="240"/>
      <c r="U612" s="66"/>
    </row>
    <row r="613" spans="2:21" x14ac:dyDescent="0.25">
      <c r="B613" s="66"/>
      <c r="C613" s="235"/>
      <c r="D613" s="236"/>
      <c r="E613" s="237"/>
      <c r="F613" s="238"/>
      <c r="G613" s="235"/>
      <c r="H613" s="235"/>
      <c r="I613" s="205"/>
      <c r="J613" s="205"/>
      <c r="K613" s="205"/>
      <c r="L613" s="205"/>
      <c r="M613" s="239"/>
      <c r="N613" s="235"/>
      <c r="O613" s="240"/>
      <c r="P613" s="238"/>
      <c r="Q613" s="240"/>
      <c r="R613" s="241"/>
      <c r="S613" s="240"/>
      <c r="T613" s="240"/>
      <c r="U613" s="66"/>
    </row>
    <row r="614" spans="2:21" x14ac:dyDescent="0.25">
      <c r="B614" s="66"/>
      <c r="C614" s="235"/>
      <c r="D614" s="236"/>
      <c r="E614" s="237"/>
      <c r="F614" s="238"/>
      <c r="G614" s="235"/>
      <c r="H614" s="235"/>
      <c r="I614" s="205"/>
      <c r="J614" s="205"/>
      <c r="K614" s="205"/>
      <c r="L614" s="205"/>
      <c r="M614" s="239"/>
      <c r="N614" s="235"/>
      <c r="O614" s="240"/>
      <c r="P614" s="238"/>
      <c r="Q614" s="240"/>
      <c r="R614" s="241"/>
      <c r="S614" s="240"/>
      <c r="T614" s="240"/>
      <c r="U614" s="66"/>
    </row>
    <row r="615" spans="2:21" x14ac:dyDescent="0.25">
      <c r="B615" s="66"/>
      <c r="C615" s="235"/>
      <c r="D615" s="236"/>
      <c r="E615" s="237"/>
      <c r="F615" s="238"/>
      <c r="G615" s="235"/>
      <c r="H615" s="235"/>
      <c r="I615" s="205"/>
      <c r="J615" s="205"/>
      <c r="K615" s="205"/>
      <c r="L615" s="205"/>
      <c r="M615" s="239"/>
      <c r="N615" s="235"/>
      <c r="O615" s="240"/>
      <c r="P615" s="238"/>
      <c r="Q615" s="240"/>
      <c r="R615" s="241"/>
      <c r="S615" s="240"/>
      <c r="T615" s="240"/>
      <c r="U615" s="66"/>
    </row>
    <row r="616" spans="2:21" x14ac:dyDescent="0.25">
      <c r="B616" s="66"/>
      <c r="C616" s="235"/>
      <c r="D616" s="236"/>
      <c r="E616" s="237"/>
      <c r="F616" s="238"/>
      <c r="G616" s="235"/>
      <c r="H616" s="235"/>
      <c r="I616" s="205"/>
      <c r="J616" s="205"/>
      <c r="K616" s="205"/>
      <c r="L616" s="205"/>
      <c r="M616" s="239"/>
      <c r="N616" s="235"/>
      <c r="O616" s="240"/>
      <c r="P616" s="238"/>
      <c r="Q616" s="240"/>
      <c r="R616" s="241"/>
      <c r="S616" s="240"/>
      <c r="T616" s="240"/>
      <c r="U616" s="66"/>
    </row>
    <row r="617" spans="2:21" x14ac:dyDescent="0.25">
      <c r="B617" s="66"/>
      <c r="C617" s="235"/>
      <c r="D617" s="236"/>
      <c r="E617" s="237"/>
      <c r="F617" s="238"/>
      <c r="G617" s="235"/>
      <c r="H617" s="235"/>
      <c r="I617" s="205"/>
      <c r="J617" s="205"/>
      <c r="K617" s="205"/>
      <c r="L617" s="205"/>
      <c r="M617" s="239"/>
      <c r="N617" s="235"/>
      <c r="O617" s="240"/>
      <c r="P617" s="238"/>
      <c r="Q617" s="240"/>
      <c r="R617" s="241"/>
      <c r="S617" s="240"/>
      <c r="T617" s="240"/>
      <c r="U617" s="66"/>
    </row>
    <row r="618" spans="2:21" x14ac:dyDescent="0.25">
      <c r="B618" s="66"/>
      <c r="C618" s="235"/>
      <c r="D618" s="236"/>
      <c r="E618" s="237"/>
      <c r="F618" s="238"/>
      <c r="G618" s="235"/>
      <c r="H618" s="235"/>
      <c r="I618" s="205"/>
      <c r="J618" s="205"/>
      <c r="K618" s="205"/>
      <c r="L618" s="205"/>
      <c r="M618" s="239"/>
      <c r="N618" s="235"/>
      <c r="O618" s="240"/>
      <c r="P618" s="238"/>
      <c r="Q618" s="240"/>
      <c r="R618" s="241"/>
      <c r="S618" s="240"/>
      <c r="T618" s="240"/>
      <c r="U618" s="66"/>
    </row>
    <row r="619" spans="2:21" x14ac:dyDescent="0.25">
      <c r="B619" s="66"/>
      <c r="C619" s="235"/>
      <c r="D619" s="236"/>
      <c r="E619" s="237"/>
      <c r="F619" s="238"/>
      <c r="G619" s="235"/>
      <c r="H619" s="235"/>
      <c r="I619" s="205"/>
      <c r="J619" s="205"/>
      <c r="K619" s="205"/>
      <c r="L619" s="205"/>
      <c r="M619" s="239"/>
      <c r="N619" s="235"/>
      <c r="O619" s="240"/>
      <c r="P619" s="238"/>
      <c r="Q619" s="240"/>
      <c r="R619" s="241"/>
      <c r="S619" s="240"/>
      <c r="T619" s="240"/>
      <c r="U619" s="66"/>
    </row>
    <row r="620" spans="2:21" x14ac:dyDescent="0.25">
      <c r="B620" s="66"/>
      <c r="C620" s="235"/>
      <c r="D620" s="236"/>
      <c r="E620" s="237"/>
      <c r="F620" s="238"/>
      <c r="G620" s="235"/>
      <c r="H620" s="235"/>
      <c r="I620" s="205"/>
      <c r="J620" s="205"/>
      <c r="K620" s="205"/>
      <c r="L620" s="205"/>
      <c r="M620" s="239"/>
      <c r="N620" s="235"/>
      <c r="O620" s="240"/>
      <c r="P620" s="238"/>
      <c r="Q620" s="240"/>
      <c r="R620" s="241"/>
      <c r="S620" s="240"/>
      <c r="T620" s="240"/>
      <c r="U620" s="66"/>
    </row>
    <row r="621" spans="2:21" x14ac:dyDescent="0.25">
      <c r="B621" s="66"/>
      <c r="C621" s="235"/>
      <c r="D621" s="236"/>
      <c r="E621" s="237"/>
      <c r="F621" s="238"/>
      <c r="G621" s="235"/>
      <c r="H621" s="235"/>
      <c r="I621" s="205"/>
      <c r="J621" s="205"/>
      <c r="K621" s="205"/>
      <c r="L621" s="205"/>
      <c r="M621" s="239"/>
      <c r="N621" s="235"/>
      <c r="O621" s="240"/>
      <c r="P621" s="238"/>
      <c r="Q621" s="240"/>
      <c r="R621" s="241"/>
      <c r="S621" s="240"/>
      <c r="T621" s="240"/>
      <c r="U621" s="66"/>
    </row>
    <row r="622" spans="2:21" x14ac:dyDescent="0.25">
      <c r="B622" s="66"/>
      <c r="C622" s="235"/>
      <c r="D622" s="236"/>
      <c r="E622" s="237"/>
      <c r="F622" s="238"/>
      <c r="G622" s="235"/>
      <c r="H622" s="235"/>
      <c r="I622" s="205"/>
      <c r="J622" s="205"/>
      <c r="K622" s="205"/>
      <c r="L622" s="205"/>
      <c r="M622" s="239"/>
      <c r="N622" s="235"/>
      <c r="O622" s="240"/>
      <c r="P622" s="238"/>
      <c r="Q622" s="240"/>
      <c r="R622" s="241"/>
      <c r="S622" s="240"/>
      <c r="T622" s="240"/>
      <c r="U622" s="66"/>
    </row>
    <row r="623" spans="2:21" x14ac:dyDescent="0.25">
      <c r="B623" s="66"/>
      <c r="C623" s="235"/>
      <c r="D623" s="236"/>
      <c r="E623" s="237"/>
      <c r="F623" s="238"/>
      <c r="G623" s="235"/>
      <c r="H623" s="235"/>
      <c r="I623" s="205"/>
      <c r="J623" s="205"/>
      <c r="K623" s="205"/>
      <c r="L623" s="205"/>
      <c r="M623" s="239"/>
      <c r="N623" s="235"/>
      <c r="O623" s="240"/>
      <c r="P623" s="238"/>
      <c r="Q623" s="240"/>
      <c r="R623" s="241"/>
      <c r="S623" s="240"/>
      <c r="T623" s="240"/>
      <c r="U623" s="66"/>
    </row>
    <row r="624" spans="2:21" x14ac:dyDescent="0.25">
      <c r="B624" s="66"/>
      <c r="C624" s="235"/>
      <c r="D624" s="236"/>
      <c r="E624" s="237"/>
      <c r="F624" s="238"/>
      <c r="G624" s="235"/>
      <c r="H624" s="235"/>
      <c r="I624" s="205"/>
      <c r="J624" s="205"/>
      <c r="K624" s="205"/>
      <c r="L624" s="205"/>
      <c r="M624" s="239"/>
      <c r="N624" s="235"/>
      <c r="O624" s="240"/>
      <c r="P624" s="238"/>
      <c r="Q624" s="240"/>
      <c r="R624" s="241"/>
      <c r="S624" s="240"/>
      <c r="T624" s="240"/>
      <c r="U624" s="66"/>
    </row>
    <row r="625" spans="2:21" x14ac:dyDescent="0.25">
      <c r="B625" s="66"/>
      <c r="C625" s="235"/>
      <c r="D625" s="236"/>
      <c r="E625" s="237"/>
      <c r="F625" s="238"/>
      <c r="G625" s="235"/>
      <c r="H625" s="235"/>
      <c r="I625" s="205"/>
      <c r="J625" s="205"/>
      <c r="K625" s="205"/>
      <c r="L625" s="205"/>
      <c r="M625" s="239"/>
      <c r="N625" s="235"/>
      <c r="O625" s="240"/>
      <c r="P625" s="238"/>
      <c r="Q625" s="240"/>
      <c r="R625" s="241"/>
      <c r="S625" s="240"/>
      <c r="T625" s="240"/>
      <c r="U625" s="66"/>
    </row>
    <row r="626" spans="2:21" x14ac:dyDescent="0.25">
      <c r="B626" s="66"/>
      <c r="C626" s="235"/>
      <c r="D626" s="236"/>
      <c r="E626" s="237"/>
      <c r="F626" s="238"/>
      <c r="G626" s="235"/>
      <c r="H626" s="235"/>
      <c r="I626" s="205"/>
      <c r="J626" s="205"/>
      <c r="K626" s="205"/>
      <c r="L626" s="205"/>
      <c r="M626" s="239"/>
      <c r="N626" s="235"/>
      <c r="O626" s="240"/>
      <c r="P626" s="238"/>
      <c r="Q626" s="240"/>
      <c r="R626" s="241"/>
      <c r="S626" s="240"/>
      <c r="T626" s="240"/>
      <c r="U626" s="66"/>
    </row>
    <row r="627" spans="2:21" x14ac:dyDescent="0.25">
      <c r="B627" s="66"/>
      <c r="C627" s="235"/>
      <c r="D627" s="236"/>
      <c r="E627" s="237"/>
      <c r="F627" s="238"/>
      <c r="G627" s="235"/>
      <c r="H627" s="235"/>
      <c r="I627" s="205"/>
      <c r="J627" s="205"/>
      <c r="K627" s="205"/>
      <c r="L627" s="205"/>
      <c r="M627" s="239"/>
      <c r="N627" s="235"/>
      <c r="O627" s="240"/>
      <c r="P627" s="238"/>
      <c r="Q627" s="240"/>
      <c r="R627" s="241"/>
      <c r="S627" s="240"/>
      <c r="T627" s="240"/>
      <c r="U627" s="66"/>
    </row>
    <row r="628" spans="2:21" x14ac:dyDescent="0.25">
      <c r="B628" s="66"/>
      <c r="C628" s="235"/>
      <c r="D628" s="236"/>
      <c r="E628" s="237"/>
      <c r="F628" s="238"/>
      <c r="G628" s="235"/>
      <c r="H628" s="235"/>
      <c r="I628" s="205"/>
      <c r="J628" s="205"/>
      <c r="K628" s="205"/>
      <c r="L628" s="205"/>
      <c r="M628" s="239"/>
      <c r="N628" s="235"/>
      <c r="O628" s="240"/>
      <c r="P628" s="238"/>
      <c r="Q628" s="240"/>
      <c r="R628" s="241"/>
      <c r="S628" s="240"/>
      <c r="T628" s="240"/>
      <c r="U628" s="66"/>
    </row>
    <row r="629" spans="2:21" x14ac:dyDescent="0.25">
      <c r="B629" s="66"/>
      <c r="C629" s="235"/>
      <c r="D629" s="236"/>
      <c r="E629" s="237"/>
      <c r="F629" s="238"/>
      <c r="G629" s="235"/>
      <c r="H629" s="235"/>
      <c r="I629" s="205"/>
      <c r="J629" s="205"/>
      <c r="K629" s="205"/>
      <c r="L629" s="205"/>
      <c r="M629" s="239"/>
      <c r="N629" s="235"/>
      <c r="O629" s="240"/>
      <c r="P629" s="238"/>
      <c r="Q629" s="240"/>
      <c r="R629" s="241"/>
      <c r="S629" s="240"/>
      <c r="T629" s="240"/>
      <c r="U629" s="66"/>
    </row>
    <row r="630" spans="2:21" x14ac:dyDescent="0.25">
      <c r="B630" s="66"/>
      <c r="C630" s="235"/>
      <c r="D630" s="236"/>
      <c r="E630" s="237"/>
      <c r="F630" s="238"/>
      <c r="G630" s="235"/>
      <c r="H630" s="235"/>
      <c r="I630" s="205"/>
      <c r="J630" s="205"/>
      <c r="K630" s="205"/>
      <c r="L630" s="205"/>
      <c r="M630" s="239"/>
      <c r="N630" s="235"/>
      <c r="O630" s="240"/>
      <c r="P630" s="238"/>
      <c r="Q630" s="240"/>
      <c r="R630" s="241"/>
      <c r="S630" s="240"/>
      <c r="T630" s="240"/>
      <c r="U630" s="66"/>
    </row>
    <row r="631" spans="2:21" x14ac:dyDescent="0.25">
      <c r="B631" s="66"/>
      <c r="C631" s="235"/>
      <c r="D631" s="236"/>
      <c r="E631" s="237"/>
      <c r="F631" s="238"/>
      <c r="G631" s="235"/>
      <c r="H631" s="235"/>
      <c r="I631" s="205"/>
      <c r="J631" s="205"/>
      <c r="K631" s="205"/>
      <c r="L631" s="205"/>
      <c r="M631" s="239"/>
      <c r="N631" s="235"/>
      <c r="O631" s="240"/>
      <c r="P631" s="238"/>
      <c r="Q631" s="240"/>
      <c r="R631" s="241"/>
      <c r="S631" s="240"/>
      <c r="T631" s="240"/>
      <c r="U631" s="66"/>
    </row>
    <row r="632" spans="2:21" x14ac:dyDescent="0.25">
      <c r="B632" s="66"/>
      <c r="C632" s="235"/>
      <c r="D632" s="236"/>
      <c r="E632" s="237"/>
      <c r="F632" s="238"/>
      <c r="G632" s="235"/>
      <c r="H632" s="235"/>
      <c r="I632" s="205"/>
      <c r="J632" s="205"/>
      <c r="K632" s="205"/>
      <c r="L632" s="205"/>
      <c r="M632" s="239"/>
      <c r="N632" s="235"/>
      <c r="O632" s="240"/>
      <c r="P632" s="238"/>
      <c r="Q632" s="240"/>
      <c r="R632" s="241"/>
      <c r="S632" s="240"/>
      <c r="T632" s="240"/>
      <c r="U632" s="66"/>
    </row>
    <row r="633" spans="2:21" x14ac:dyDescent="0.25">
      <c r="B633" s="66"/>
      <c r="C633" s="235"/>
      <c r="D633" s="236"/>
      <c r="E633" s="237"/>
      <c r="F633" s="238"/>
      <c r="G633" s="235"/>
      <c r="H633" s="235"/>
      <c r="I633" s="205"/>
      <c r="J633" s="205"/>
      <c r="K633" s="205"/>
      <c r="L633" s="205"/>
      <c r="M633" s="239"/>
      <c r="N633" s="235"/>
      <c r="O633" s="240"/>
      <c r="P633" s="238"/>
      <c r="Q633" s="240"/>
      <c r="R633" s="241"/>
      <c r="S633" s="240"/>
      <c r="T633" s="240"/>
      <c r="U633" s="66"/>
    </row>
    <row r="634" spans="2:21" x14ac:dyDescent="0.25">
      <c r="B634" s="66"/>
      <c r="C634" s="235"/>
      <c r="D634" s="236"/>
      <c r="E634" s="237"/>
      <c r="F634" s="238"/>
      <c r="G634" s="235"/>
      <c r="H634" s="235"/>
      <c r="I634" s="205"/>
      <c r="J634" s="205"/>
      <c r="K634" s="205"/>
      <c r="L634" s="205"/>
      <c r="M634" s="239"/>
      <c r="N634" s="235"/>
      <c r="O634" s="240"/>
      <c r="P634" s="238"/>
      <c r="Q634" s="240"/>
      <c r="R634" s="241"/>
      <c r="S634" s="240"/>
      <c r="T634" s="240"/>
      <c r="U634" s="66"/>
    </row>
    <row r="635" spans="2:21" x14ac:dyDescent="0.25">
      <c r="B635" s="66"/>
      <c r="C635" s="235"/>
      <c r="D635" s="236"/>
      <c r="E635" s="237"/>
      <c r="F635" s="238"/>
      <c r="G635" s="235"/>
      <c r="H635" s="235"/>
      <c r="I635" s="205"/>
      <c r="J635" s="205"/>
      <c r="K635" s="205"/>
      <c r="L635" s="205"/>
      <c r="M635" s="239"/>
      <c r="N635" s="235"/>
      <c r="O635" s="240"/>
      <c r="P635" s="238"/>
      <c r="Q635" s="240"/>
      <c r="R635" s="241"/>
      <c r="S635" s="240"/>
      <c r="T635" s="240"/>
      <c r="U635" s="66"/>
    </row>
    <row r="636" spans="2:21" x14ac:dyDescent="0.25">
      <c r="B636" s="66"/>
      <c r="C636" s="235"/>
      <c r="D636" s="236"/>
      <c r="E636" s="237"/>
      <c r="F636" s="238"/>
      <c r="G636" s="235"/>
      <c r="H636" s="235"/>
      <c r="I636" s="205"/>
      <c r="J636" s="205"/>
      <c r="K636" s="205"/>
      <c r="L636" s="205"/>
      <c r="M636" s="239"/>
      <c r="N636" s="235"/>
      <c r="O636" s="240"/>
      <c r="P636" s="238"/>
      <c r="Q636" s="240"/>
      <c r="R636" s="241"/>
      <c r="S636" s="240"/>
      <c r="T636" s="240"/>
      <c r="U636" s="66"/>
    </row>
    <row r="637" spans="2:21" x14ac:dyDescent="0.25">
      <c r="B637" s="66"/>
      <c r="C637" s="235"/>
      <c r="D637" s="236"/>
      <c r="E637" s="237"/>
      <c r="F637" s="238"/>
      <c r="G637" s="235"/>
      <c r="H637" s="235"/>
      <c r="I637" s="205"/>
      <c r="J637" s="205"/>
      <c r="K637" s="205"/>
      <c r="L637" s="205"/>
      <c r="M637" s="239"/>
      <c r="N637" s="235"/>
      <c r="O637" s="240"/>
      <c r="P637" s="238"/>
      <c r="Q637" s="240"/>
      <c r="R637" s="241"/>
      <c r="S637" s="240"/>
      <c r="T637" s="240"/>
      <c r="U637" s="66"/>
    </row>
    <row r="638" spans="2:21" x14ac:dyDescent="0.25">
      <c r="B638" s="66"/>
      <c r="C638" s="235"/>
      <c r="D638" s="236"/>
      <c r="E638" s="237"/>
      <c r="F638" s="238"/>
      <c r="G638" s="235"/>
      <c r="H638" s="235"/>
      <c r="I638" s="205"/>
      <c r="J638" s="205"/>
      <c r="K638" s="205"/>
      <c r="L638" s="205"/>
      <c r="M638" s="239"/>
      <c r="N638" s="235"/>
      <c r="O638" s="240"/>
      <c r="P638" s="238"/>
      <c r="Q638" s="240"/>
      <c r="R638" s="241"/>
      <c r="S638" s="240"/>
      <c r="T638" s="240"/>
      <c r="U638" s="66"/>
    </row>
    <row r="639" spans="2:21" x14ac:dyDescent="0.25">
      <c r="B639" s="66"/>
      <c r="C639" s="235"/>
      <c r="D639" s="236"/>
      <c r="E639" s="237"/>
      <c r="F639" s="238"/>
      <c r="G639" s="235"/>
      <c r="H639" s="235"/>
      <c r="I639" s="205"/>
      <c r="J639" s="205"/>
      <c r="K639" s="205"/>
      <c r="L639" s="205"/>
      <c r="M639" s="239"/>
      <c r="N639" s="235"/>
      <c r="O639" s="240"/>
      <c r="P639" s="238"/>
      <c r="Q639" s="240"/>
      <c r="R639" s="241"/>
      <c r="S639" s="240"/>
      <c r="T639" s="240"/>
      <c r="U639" s="66"/>
    </row>
    <row r="640" spans="2:21" x14ac:dyDescent="0.25">
      <c r="B640" s="66"/>
      <c r="C640" s="235"/>
      <c r="D640" s="236"/>
      <c r="E640" s="237"/>
      <c r="F640" s="238"/>
      <c r="G640" s="235"/>
      <c r="H640" s="235"/>
      <c r="I640" s="205"/>
      <c r="J640" s="205"/>
      <c r="K640" s="205"/>
      <c r="L640" s="205"/>
      <c r="M640" s="239"/>
      <c r="N640" s="235"/>
      <c r="O640" s="240"/>
      <c r="P640" s="238"/>
      <c r="Q640" s="240"/>
      <c r="R640" s="241"/>
      <c r="S640" s="240"/>
      <c r="T640" s="240"/>
      <c r="U640" s="66"/>
    </row>
    <row r="641" spans="2:21" x14ac:dyDescent="0.25">
      <c r="B641" s="66"/>
      <c r="C641" s="235"/>
      <c r="D641" s="236"/>
      <c r="E641" s="237"/>
      <c r="F641" s="238"/>
      <c r="G641" s="235"/>
      <c r="H641" s="235"/>
      <c r="I641" s="205"/>
      <c r="J641" s="205"/>
      <c r="K641" s="205"/>
      <c r="L641" s="205"/>
      <c r="M641" s="239"/>
      <c r="N641" s="235"/>
      <c r="O641" s="240"/>
      <c r="P641" s="238"/>
      <c r="Q641" s="240"/>
      <c r="R641" s="241"/>
      <c r="S641" s="240"/>
      <c r="T641" s="240"/>
      <c r="U641" s="66"/>
    </row>
    <row r="642" spans="2:21" x14ac:dyDescent="0.25">
      <c r="B642" s="66"/>
      <c r="C642" s="235"/>
      <c r="D642" s="236"/>
      <c r="E642" s="237"/>
      <c r="F642" s="238"/>
      <c r="G642" s="235"/>
      <c r="H642" s="235"/>
      <c r="I642" s="205"/>
      <c r="J642" s="205"/>
      <c r="K642" s="205"/>
      <c r="L642" s="205"/>
      <c r="M642" s="239"/>
      <c r="N642" s="235"/>
      <c r="O642" s="240"/>
      <c r="P642" s="238"/>
      <c r="Q642" s="240"/>
      <c r="R642" s="241"/>
      <c r="S642" s="240"/>
      <c r="T642" s="240"/>
      <c r="U642" s="66"/>
    </row>
    <row r="643" spans="2:21" x14ac:dyDescent="0.25">
      <c r="B643" s="66"/>
      <c r="C643" s="235"/>
      <c r="D643" s="236"/>
      <c r="E643" s="237"/>
      <c r="F643" s="238"/>
      <c r="G643" s="235"/>
      <c r="H643" s="235"/>
      <c r="I643" s="205"/>
      <c r="J643" s="205"/>
      <c r="K643" s="205"/>
      <c r="L643" s="205"/>
      <c r="M643" s="239"/>
      <c r="N643" s="235"/>
      <c r="O643" s="240"/>
      <c r="P643" s="238"/>
      <c r="Q643" s="240"/>
      <c r="R643" s="241"/>
      <c r="S643" s="240"/>
      <c r="T643" s="240"/>
      <c r="U643" s="66"/>
    </row>
    <row r="644" spans="2:21" x14ac:dyDescent="0.25">
      <c r="B644" s="66"/>
      <c r="C644" s="235"/>
      <c r="D644" s="236"/>
      <c r="E644" s="237"/>
      <c r="F644" s="238"/>
      <c r="G644" s="235"/>
      <c r="H644" s="235"/>
      <c r="I644" s="205"/>
      <c r="J644" s="205"/>
      <c r="K644" s="205"/>
      <c r="L644" s="205"/>
      <c r="M644" s="239"/>
      <c r="N644" s="235"/>
      <c r="O644" s="240"/>
      <c r="P644" s="238"/>
      <c r="Q644" s="240"/>
      <c r="R644" s="241"/>
      <c r="S644" s="240"/>
      <c r="T644" s="240"/>
      <c r="U644" s="66"/>
    </row>
    <row r="645" spans="2:21" x14ac:dyDescent="0.25">
      <c r="B645" s="66"/>
      <c r="C645" s="235"/>
      <c r="D645" s="236"/>
      <c r="E645" s="237"/>
      <c r="F645" s="238"/>
      <c r="G645" s="235"/>
      <c r="H645" s="235"/>
      <c r="I645" s="205"/>
      <c r="J645" s="205"/>
      <c r="K645" s="205"/>
      <c r="L645" s="205"/>
      <c r="M645" s="239"/>
      <c r="N645" s="235"/>
      <c r="O645" s="240"/>
      <c r="P645" s="238"/>
      <c r="Q645" s="240"/>
      <c r="R645" s="241"/>
      <c r="S645" s="240"/>
      <c r="T645" s="240"/>
      <c r="U645" s="66"/>
    </row>
    <row r="646" spans="2:21" x14ac:dyDescent="0.25">
      <c r="B646" s="66"/>
      <c r="C646" s="235"/>
      <c r="D646" s="236"/>
      <c r="E646" s="237"/>
      <c r="F646" s="238"/>
      <c r="G646" s="235"/>
      <c r="H646" s="235"/>
      <c r="I646" s="205"/>
      <c r="J646" s="205"/>
      <c r="K646" s="205"/>
      <c r="L646" s="205"/>
      <c r="M646" s="239"/>
      <c r="N646" s="235"/>
      <c r="O646" s="240"/>
      <c r="P646" s="238"/>
      <c r="Q646" s="240"/>
      <c r="R646" s="241"/>
      <c r="S646" s="240"/>
      <c r="T646" s="240"/>
      <c r="U646" s="66"/>
    </row>
    <row r="647" spans="2:21" x14ac:dyDescent="0.25">
      <c r="B647" s="66"/>
      <c r="C647" s="235"/>
      <c r="D647" s="236"/>
      <c r="E647" s="237"/>
      <c r="F647" s="238"/>
      <c r="G647" s="235"/>
      <c r="H647" s="235"/>
      <c r="I647" s="205"/>
      <c r="J647" s="205"/>
      <c r="K647" s="205"/>
      <c r="L647" s="205"/>
      <c r="M647" s="239"/>
      <c r="N647" s="235"/>
      <c r="O647" s="240"/>
      <c r="P647" s="238"/>
      <c r="Q647" s="240"/>
      <c r="R647" s="241"/>
      <c r="S647" s="240"/>
      <c r="T647" s="240"/>
      <c r="U647" s="66"/>
    </row>
    <row r="648" spans="2:21" x14ac:dyDescent="0.25">
      <c r="B648" s="66"/>
      <c r="C648" s="235"/>
      <c r="D648" s="236"/>
      <c r="E648" s="237"/>
      <c r="F648" s="238"/>
      <c r="G648" s="235"/>
      <c r="H648" s="235"/>
      <c r="I648" s="205"/>
      <c r="J648" s="205"/>
      <c r="K648" s="205"/>
      <c r="L648" s="205"/>
      <c r="M648" s="239"/>
      <c r="N648" s="235"/>
      <c r="O648" s="240"/>
      <c r="P648" s="238"/>
      <c r="Q648" s="240"/>
      <c r="R648" s="241"/>
      <c r="S648" s="240"/>
      <c r="T648" s="240"/>
      <c r="U648" s="66"/>
    </row>
    <row r="649" spans="2:21" x14ac:dyDescent="0.25">
      <c r="B649" s="66"/>
      <c r="C649" s="235"/>
      <c r="D649" s="236"/>
      <c r="E649" s="237"/>
      <c r="F649" s="238"/>
      <c r="G649" s="235"/>
      <c r="H649" s="235"/>
      <c r="I649" s="205"/>
      <c r="J649" s="205"/>
      <c r="K649" s="205"/>
      <c r="L649" s="205"/>
      <c r="M649" s="239"/>
      <c r="N649" s="235"/>
      <c r="O649" s="240"/>
      <c r="P649" s="238"/>
      <c r="Q649" s="240"/>
      <c r="R649" s="241"/>
      <c r="S649" s="240"/>
      <c r="T649" s="240"/>
      <c r="U649" s="66"/>
    </row>
    <row r="650" spans="2:21" x14ac:dyDescent="0.25">
      <c r="B650" s="66"/>
      <c r="C650" s="235"/>
      <c r="D650" s="236"/>
      <c r="E650" s="237"/>
      <c r="F650" s="238"/>
      <c r="G650" s="235"/>
      <c r="H650" s="235"/>
      <c r="I650" s="205"/>
      <c r="J650" s="205"/>
      <c r="K650" s="205"/>
      <c r="L650" s="205"/>
      <c r="M650" s="239"/>
      <c r="N650" s="235"/>
      <c r="O650" s="240"/>
      <c r="P650" s="238"/>
      <c r="Q650" s="240"/>
      <c r="R650" s="241"/>
      <c r="S650" s="240"/>
      <c r="T650" s="240"/>
      <c r="U650" s="66"/>
    </row>
    <row r="651" spans="2:21" x14ac:dyDescent="0.25">
      <c r="B651" s="66"/>
      <c r="C651" s="235"/>
      <c r="D651" s="236"/>
      <c r="E651" s="237"/>
      <c r="F651" s="238"/>
      <c r="G651" s="235"/>
      <c r="H651" s="235"/>
      <c r="I651" s="205"/>
      <c r="J651" s="205"/>
      <c r="K651" s="205"/>
      <c r="L651" s="205"/>
      <c r="M651" s="239"/>
      <c r="N651" s="235"/>
      <c r="O651" s="240"/>
      <c r="P651" s="238"/>
      <c r="Q651" s="240"/>
      <c r="R651" s="241"/>
      <c r="S651" s="240"/>
      <c r="T651" s="240"/>
      <c r="U651" s="66"/>
    </row>
    <row r="652" spans="2:21" x14ac:dyDescent="0.25">
      <c r="B652" s="66"/>
      <c r="C652" s="235"/>
      <c r="D652" s="236"/>
      <c r="E652" s="237"/>
      <c r="F652" s="238"/>
      <c r="G652" s="235"/>
      <c r="H652" s="235"/>
      <c r="I652" s="205"/>
      <c r="J652" s="205"/>
      <c r="K652" s="205"/>
      <c r="L652" s="205"/>
      <c r="M652" s="239"/>
      <c r="N652" s="235"/>
      <c r="O652" s="240"/>
      <c r="P652" s="238"/>
      <c r="Q652" s="240"/>
      <c r="R652" s="241"/>
      <c r="S652" s="240"/>
      <c r="T652" s="240"/>
      <c r="U652" s="66"/>
    </row>
    <row r="653" spans="2:21" x14ac:dyDescent="0.25">
      <c r="B653" s="66"/>
      <c r="C653" s="235"/>
      <c r="D653" s="236"/>
      <c r="E653" s="237"/>
      <c r="F653" s="238"/>
      <c r="G653" s="235"/>
      <c r="H653" s="235"/>
      <c r="I653" s="205"/>
      <c r="J653" s="205"/>
      <c r="K653" s="205"/>
      <c r="L653" s="205"/>
      <c r="M653" s="239"/>
      <c r="N653" s="235"/>
      <c r="O653" s="240"/>
      <c r="P653" s="238"/>
      <c r="Q653" s="240"/>
      <c r="R653" s="241"/>
      <c r="S653" s="240"/>
      <c r="T653" s="240"/>
      <c r="U653" s="66"/>
    </row>
    <row r="654" spans="2:21" x14ac:dyDescent="0.25">
      <c r="B654" s="66"/>
      <c r="C654" s="235"/>
      <c r="D654" s="236"/>
      <c r="E654" s="237"/>
      <c r="F654" s="238"/>
      <c r="G654" s="235"/>
      <c r="H654" s="235"/>
      <c r="I654" s="205"/>
      <c r="J654" s="205"/>
      <c r="K654" s="205"/>
      <c r="L654" s="205"/>
      <c r="M654" s="239"/>
      <c r="N654" s="235"/>
      <c r="O654" s="240"/>
      <c r="P654" s="238"/>
      <c r="Q654" s="240"/>
      <c r="R654" s="241"/>
      <c r="S654" s="240"/>
      <c r="T654" s="240"/>
      <c r="U654" s="66"/>
    </row>
    <row r="655" spans="2:21" x14ac:dyDescent="0.25">
      <c r="B655" s="66"/>
      <c r="C655" s="235"/>
      <c r="D655" s="236"/>
      <c r="E655" s="237"/>
      <c r="F655" s="238"/>
      <c r="G655" s="235"/>
      <c r="H655" s="235"/>
      <c r="I655" s="205"/>
      <c r="J655" s="205"/>
      <c r="K655" s="205"/>
      <c r="L655" s="205"/>
      <c r="M655" s="239"/>
      <c r="N655" s="235"/>
      <c r="O655" s="240"/>
      <c r="P655" s="238"/>
      <c r="Q655" s="240"/>
      <c r="R655" s="241"/>
      <c r="S655" s="240"/>
      <c r="T655" s="240"/>
      <c r="U655" s="66"/>
    </row>
    <row r="656" spans="2:21" x14ac:dyDescent="0.25">
      <c r="B656" s="66"/>
      <c r="C656" s="235"/>
      <c r="D656" s="236"/>
      <c r="E656" s="237"/>
      <c r="F656" s="238"/>
      <c r="G656" s="235"/>
      <c r="H656" s="235"/>
      <c r="I656" s="205"/>
      <c r="J656" s="205"/>
      <c r="K656" s="205"/>
      <c r="L656" s="205"/>
      <c r="M656" s="239"/>
      <c r="N656" s="235"/>
      <c r="O656" s="240"/>
      <c r="P656" s="238"/>
      <c r="Q656" s="240"/>
      <c r="R656" s="241"/>
      <c r="S656" s="240"/>
      <c r="T656" s="240"/>
      <c r="U656" s="66"/>
    </row>
    <row r="657" spans="2:21" x14ac:dyDescent="0.25">
      <c r="B657" s="66"/>
      <c r="C657" s="235"/>
      <c r="D657" s="236"/>
      <c r="E657" s="237"/>
      <c r="F657" s="238"/>
      <c r="G657" s="235"/>
      <c r="H657" s="235"/>
      <c r="I657" s="205"/>
      <c r="J657" s="205"/>
      <c r="K657" s="205"/>
      <c r="L657" s="205"/>
      <c r="M657" s="239"/>
      <c r="N657" s="235"/>
      <c r="O657" s="240"/>
      <c r="P657" s="238"/>
      <c r="Q657" s="240"/>
      <c r="R657" s="241"/>
      <c r="S657" s="240"/>
      <c r="T657" s="240"/>
      <c r="U657" s="66"/>
    </row>
    <row r="658" spans="2:21" x14ac:dyDescent="0.25">
      <c r="B658" s="66"/>
      <c r="C658" s="235"/>
      <c r="D658" s="236"/>
      <c r="E658" s="237"/>
      <c r="F658" s="238"/>
      <c r="G658" s="235"/>
      <c r="H658" s="235"/>
      <c r="I658" s="205"/>
      <c r="J658" s="205"/>
      <c r="K658" s="205"/>
      <c r="L658" s="205"/>
      <c r="M658" s="239"/>
      <c r="N658" s="235"/>
      <c r="O658" s="240"/>
      <c r="P658" s="238"/>
      <c r="Q658" s="240"/>
      <c r="R658" s="241"/>
      <c r="S658" s="240"/>
      <c r="T658" s="240"/>
      <c r="U658" s="66"/>
    </row>
    <row r="659" spans="2:21" x14ac:dyDescent="0.25">
      <c r="B659" s="66"/>
      <c r="C659" s="235"/>
      <c r="D659" s="236"/>
      <c r="E659" s="237"/>
      <c r="F659" s="238"/>
      <c r="G659" s="235"/>
      <c r="H659" s="235"/>
      <c r="I659" s="205"/>
      <c r="J659" s="205"/>
      <c r="K659" s="205"/>
      <c r="L659" s="205"/>
      <c r="M659" s="239"/>
      <c r="N659" s="235"/>
      <c r="O659" s="240"/>
      <c r="P659" s="238"/>
      <c r="Q659" s="240"/>
      <c r="R659" s="241"/>
      <c r="S659" s="240"/>
      <c r="T659" s="240"/>
      <c r="U659" s="66"/>
    </row>
    <row r="660" spans="2:21" x14ac:dyDescent="0.25">
      <c r="B660" s="66"/>
      <c r="C660" s="235"/>
      <c r="D660" s="236"/>
      <c r="E660" s="237"/>
      <c r="F660" s="238"/>
      <c r="G660" s="235"/>
      <c r="H660" s="235"/>
      <c r="I660" s="205"/>
      <c r="J660" s="205"/>
      <c r="K660" s="205"/>
      <c r="L660" s="205"/>
      <c r="M660" s="239"/>
      <c r="N660" s="235"/>
      <c r="O660" s="240"/>
      <c r="P660" s="238"/>
      <c r="Q660" s="240"/>
      <c r="R660" s="241"/>
      <c r="S660" s="240"/>
      <c r="T660" s="240"/>
      <c r="U660" s="66"/>
    </row>
    <row r="661" spans="2:21" x14ac:dyDescent="0.25">
      <c r="B661" s="66"/>
      <c r="C661" s="235"/>
      <c r="D661" s="236"/>
      <c r="E661" s="237"/>
      <c r="F661" s="238"/>
      <c r="G661" s="235"/>
      <c r="H661" s="235"/>
      <c r="I661" s="205"/>
      <c r="J661" s="205"/>
      <c r="K661" s="205"/>
      <c r="L661" s="205"/>
      <c r="M661" s="239"/>
      <c r="N661" s="235"/>
      <c r="O661" s="240"/>
      <c r="P661" s="238"/>
      <c r="Q661" s="240"/>
      <c r="R661" s="241"/>
      <c r="S661" s="240"/>
      <c r="T661" s="240"/>
      <c r="U661" s="66"/>
    </row>
    <row r="662" spans="2:21" x14ac:dyDescent="0.25">
      <c r="B662" s="66"/>
      <c r="C662" s="235"/>
      <c r="D662" s="236"/>
      <c r="E662" s="237"/>
      <c r="F662" s="238"/>
      <c r="G662" s="235"/>
      <c r="H662" s="235"/>
      <c r="I662" s="205"/>
      <c r="J662" s="205"/>
      <c r="K662" s="205"/>
      <c r="L662" s="205"/>
      <c r="M662" s="239"/>
      <c r="N662" s="235"/>
      <c r="O662" s="240"/>
      <c r="P662" s="238"/>
      <c r="Q662" s="240"/>
      <c r="R662" s="241"/>
      <c r="S662" s="240"/>
      <c r="T662" s="240"/>
      <c r="U662" s="66"/>
    </row>
    <row r="663" spans="2:21" x14ac:dyDescent="0.25">
      <c r="B663" s="66"/>
      <c r="C663" s="235"/>
      <c r="D663" s="236"/>
      <c r="E663" s="237"/>
      <c r="F663" s="238"/>
      <c r="G663" s="235"/>
      <c r="H663" s="235"/>
      <c r="I663" s="205"/>
      <c r="J663" s="205"/>
      <c r="K663" s="205"/>
      <c r="L663" s="205"/>
      <c r="M663" s="239"/>
      <c r="N663" s="235"/>
      <c r="O663" s="240"/>
      <c r="P663" s="238"/>
      <c r="Q663" s="240"/>
      <c r="R663" s="241"/>
      <c r="S663" s="240"/>
      <c r="T663" s="240"/>
      <c r="U663" s="66"/>
    </row>
    <row r="664" spans="2:21" x14ac:dyDescent="0.25">
      <c r="B664" s="66"/>
      <c r="C664" s="235"/>
      <c r="D664" s="236"/>
      <c r="E664" s="237"/>
      <c r="F664" s="238"/>
      <c r="G664" s="235"/>
      <c r="H664" s="235"/>
      <c r="I664" s="205"/>
      <c r="J664" s="205"/>
      <c r="K664" s="205"/>
      <c r="L664" s="205"/>
      <c r="M664" s="239"/>
      <c r="N664" s="235"/>
      <c r="O664" s="240"/>
      <c r="P664" s="238"/>
      <c r="Q664" s="240"/>
      <c r="R664" s="241"/>
      <c r="S664" s="240"/>
      <c r="T664" s="240"/>
      <c r="U664" s="66"/>
    </row>
    <row r="665" spans="2:21" x14ac:dyDescent="0.25">
      <c r="B665" s="66"/>
      <c r="C665" s="235"/>
      <c r="D665" s="236"/>
      <c r="E665" s="237"/>
      <c r="F665" s="238"/>
      <c r="G665" s="235"/>
      <c r="H665" s="235"/>
      <c r="I665" s="205"/>
      <c r="J665" s="205"/>
      <c r="K665" s="205"/>
      <c r="L665" s="205"/>
      <c r="M665" s="239"/>
      <c r="N665" s="235"/>
      <c r="O665" s="240"/>
      <c r="P665" s="238"/>
      <c r="Q665" s="240"/>
      <c r="R665" s="241"/>
      <c r="S665" s="240"/>
      <c r="T665" s="240"/>
      <c r="U665" s="66"/>
    </row>
    <row r="666" spans="2:21" x14ac:dyDescent="0.25">
      <c r="B666" s="66"/>
      <c r="C666" s="235"/>
      <c r="D666" s="236"/>
      <c r="E666" s="237"/>
      <c r="F666" s="238"/>
      <c r="G666" s="235"/>
      <c r="H666" s="235"/>
      <c r="I666" s="205"/>
      <c r="J666" s="205"/>
      <c r="K666" s="205"/>
      <c r="L666" s="205"/>
      <c r="M666" s="239"/>
      <c r="N666" s="235"/>
      <c r="O666" s="240"/>
      <c r="P666" s="238"/>
      <c r="Q666" s="240"/>
      <c r="R666" s="241"/>
      <c r="S666" s="240"/>
      <c r="T666" s="240"/>
      <c r="U666" s="66"/>
    </row>
    <row r="667" spans="2:21" x14ac:dyDescent="0.25">
      <c r="B667" s="66"/>
      <c r="C667" s="235"/>
      <c r="D667" s="236"/>
      <c r="E667" s="237"/>
      <c r="F667" s="238"/>
      <c r="G667" s="235"/>
      <c r="H667" s="235"/>
      <c r="I667" s="205"/>
      <c r="J667" s="205"/>
      <c r="K667" s="205"/>
      <c r="L667" s="205"/>
      <c r="M667" s="239"/>
      <c r="N667" s="235"/>
      <c r="O667" s="240"/>
      <c r="P667" s="238"/>
      <c r="Q667" s="240"/>
      <c r="R667" s="241"/>
      <c r="S667" s="240"/>
      <c r="T667" s="240"/>
      <c r="U667" s="66"/>
    </row>
    <row r="668" spans="2:21" x14ac:dyDescent="0.25">
      <c r="B668" s="66"/>
      <c r="C668" s="235"/>
      <c r="D668" s="236"/>
      <c r="E668" s="237"/>
      <c r="F668" s="238"/>
      <c r="G668" s="235"/>
      <c r="H668" s="235"/>
      <c r="I668" s="205"/>
      <c r="J668" s="205"/>
      <c r="K668" s="205"/>
      <c r="L668" s="205"/>
      <c r="M668" s="239"/>
      <c r="N668" s="235"/>
      <c r="O668" s="240"/>
      <c r="P668" s="238"/>
      <c r="Q668" s="240"/>
      <c r="R668" s="241"/>
      <c r="S668" s="240"/>
      <c r="T668" s="240"/>
      <c r="U668" s="66"/>
    </row>
    <row r="669" spans="2:21" x14ac:dyDescent="0.25">
      <c r="B669" s="66"/>
      <c r="C669" s="235"/>
      <c r="D669" s="236"/>
      <c r="E669" s="237"/>
      <c r="F669" s="238"/>
      <c r="G669" s="235"/>
      <c r="H669" s="235"/>
      <c r="I669" s="205"/>
      <c r="J669" s="205"/>
      <c r="K669" s="205"/>
      <c r="L669" s="205"/>
      <c r="M669" s="239"/>
      <c r="N669" s="235"/>
      <c r="O669" s="240"/>
      <c r="P669" s="238"/>
      <c r="Q669" s="240"/>
      <c r="R669" s="241"/>
      <c r="S669" s="240"/>
      <c r="T669" s="240"/>
      <c r="U669" s="66"/>
    </row>
    <row r="670" spans="2:21" x14ac:dyDescent="0.25">
      <c r="B670" s="66"/>
      <c r="C670" s="235"/>
      <c r="D670" s="236"/>
      <c r="E670" s="237"/>
      <c r="F670" s="238"/>
      <c r="G670" s="235"/>
      <c r="H670" s="235"/>
      <c r="I670" s="205"/>
      <c r="J670" s="205"/>
      <c r="K670" s="205"/>
      <c r="L670" s="205"/>
      <c r="M670" s="239"/>
      <c r="N670" s="235"/>
      <c r="O670" s="240"/>
      <c r="P670" s="238"/>
      <c r="Q670" s="240"/>
      <c r="R670" s="241"/>
      <c r="S670" s="240"/>
      <c r="T670" s="240"/>
      <c r="U670" s="66"/>
    </row>
    <row r="671" spans="2:21" x14ac:dyDescent="0.25">
      <c r="B671" s="66"/>
      <c r="C671" s="235"/>
      <c r="D671" s="236"/>
      <c r="E671" s="237"/>
      <c r="F671" s="238"/>
      <c r="G671" s="235"/>
      <c r="H671" s="235"/>
      <c r="I671" s="205"/>
      <c r="J671" s="205"/>
      <c r="K671" s="205"/>
      <c r="L671" s="205"/>
      <c r="M671" s="239"/>
      <c r="N671" s="235"/>
      <c r="O671" s="240"/>
      <c r="P671" s="238"/>
      <c r="Q671" s="240"/>
      <c r="R671" s="241"/>
      <c r="S671" s="240"/>
      <c r="T671" s="240"/>
      <c r="U671" s="66"/>
    </row>
    <row r="672" spans="2:21" x14ac:dyDescent="0.25">
      <c r="B672" s="66"/>
      <c r="C672" s="235"/>
      <c r="D672" s="236"/>
      <c r="E672" s="237"/>
      <c r="F672" s="238"/>
      <c r="G672" s="235"/>
      <c r="H672" s="235"/>
      <c r="I672" s="205"/>
      <c r="J672" s="205"/>
      <c r="K672" s="205"/>
      <c r="L672" s="205"/>
      <c r="M672" s="239"/>
      <c r="N672" s="235"/>
      <c r="O672" s="240"/>
      <c r="P672" s="238"/>
      <c r="Q672" s="240"/>
      <c r="R672" s="241"/>
      <c r="S672" s="240"/>
      <c r="T672" s="240"/>
      <c r="U672" s="66"/>
    </row>
    <row r="673" spans="2:21" x14ac:dyDescent="0.25">
      <c r="B673" s="66"/>
      <c r="C673" s="235"/>
      <c r="D673" s="236"/>
      <c r="E673" s="237"/>
      <c r="F673" s="238"/>
      <c r="G673" s="235"/>
      <c r="H673" s="235"/>
      <c r="I673" s="205"/>
      <c r="J673" s="205"/>
      <c r="K673" s="205"/>
      <c r="L673" s="205"/>
      <c r="M673" s="239"/>
      <c r="N673" s="235"/>
      <c r="O673" s="240"/>
      <c r="P673" s="238"/>
      <c r="Q673" s="240"/>
      <c r="R673" s="241"/>
      <c r="S673" s="240"/>
      <c r="T673" s="240"/>
      <c r="U673" s="66"/>
    </row>
    <row r="674" spans="2:21" x14ac:dyDescent="0.25">
      <c r="B674" s="66"/>
      <c r="C674" s="235"/>
      <c r="D674" s="236"/>
      <c r="E674" s="237"/>
      <c r="F674" s="238"/>
      <c r="G674" s="235"/>
      <c r="H674" s="235"/>
      <c r="I674" s="205"/>
      <c r="J674" s="205"/>
      <c r="K674" s="205"/>
      <c r="L674" s="205"/>
      <c r="M674" s="239"/>
      <c r="N674" s="235"/>
      <c r="O674" s="240"/>
      <c r="P674" s="238"/>
      <c r="Q674" s="240"/>
      <c r="R674" s="241"/>
      <c r="S674" s="240"/>
      <c r="T674" s="240"/>
      <c r="U674" s="66"/>
    </row>
    <row r="675" spans="2:21" x14ac:dyDescent="0.25">
      <c r="B675" s="66"/>
      <c r="C675" s="235"/>
      <c r="D675" s="236"/>
      <c r="E675" s="237"/>
      <c r="F675" s="238"/>
      <c r="G675" s="235"/>
      <c r="H675" s="235"/>
      <c r="I675" s="205"/>
      <c r="J675" s="205"/>
      <c r="K675" s="205"/>
      <c r="L675" s="205"/>
      <c r="M675" s="239"/>
      <c r="N675" s="235"/>
      <c r="O675" s="240"/>
      <c r="P675" s="238"/>
      <c r="Q675" s="240"/>
      <c r="R675" s="241"/>
      <c r="S675" s="240"/>
      <c r="T675" s="240"/>
      <c r="U675" s="66"/>
    </row>
    <row r="676" spans="2:21" x14ac:dyDescent="0.25">
      <c r="B676" s="66"/>
      <c r="C676" s="235"/>
      <c r="D676" s="236"/>
      <c r="E676" s="237"/>
      <c r="F676" s="238"/>
      <c r="G676" s="235"/>
      <c r="H676" s="235"/>
      <c r="I676" s="205"/>
      <c r="J676" s="205"/>
      <c r="K676" s="205"/>
      <c r="L676" s="205"/>
      <c r="M676" s="239"/>
      <c r="N676" s="235"/>
      <c r="O676" s="240"/>
      <c r="P676" s="238"/>
      <c r="Q676" s="240"/>
      <c r="R676" s="241"/>
      <c r="S676" s="240"/>
      <c r="T676" s="240"/>
      <c r="U676" s="66"/>
    </row>
    <row r="677" spans="2:21" x14ac:dyDescent="0.25">
      <c r="B677" s="66"/>
      <c r="C677" s="235"/>
      <c r="D677" s="236"/>
      <c r="E677" s="237"/>
      <c r="F677" s="238"/>
      <c r="G677" s="235"/>
      <c r="H677" s="235"/>
      <c r="I677" s="205"/>
      <c r="J677" s="205"/>
      <c r="K677" s="205"/>
      <c r="L677" s="205"/>
      <c r="M677" s="239"/>
      <c r="N677" s="235"/>
      <c r="O677" s="240"/>
      <c r="P677" s="238"/>
      <c r="Q677" s="240"/>
      <c r="R677" s="241"/>
      <c r="S677" s="240"/>
      <c r="T677" s="240"/>
      <c r="U677" s="66"/>
    </row>
    <row r="678" spans="2:21" x14ac:dyDescent="0.25">
      <c r="B678" s="66"/>
      <c r="C678" s="235"/>
      <c r="D678" s="236"/>
      <c r="E678" s="237"/>
      <c r="F678" s="238"/>
      <c r="G678" s="235"/>
      <c r="H678" s="235"/>
      <c r="I678" s="205"/>
      <c r="J678" s="205"/>
      <c r="K678" s="205"/>
      <c r="L678" s="205"/>
      <c r="M678" s="239"/>
      <c r="N678" s="235"/>
      <c r="O678" s="240"/>
      <c r="P678" s="238"/>
      <c r="Q678" s="240"/>
      <c r="R678" s="241"/>
      <c r="S678" s="240"/>
      <c r="T678" s="240"/>
      <c r="U678" s="66"/>
    </row>
    <row r="679" spans="2:21" x14ac:dyDescent="0.25">
      <c r="B679" s="66"/>
      <c r="C679" s="235"/>
      <c r="D679" s="236"/>
      <c r="E679" s="237"/>
      <c r="F679" s="238"/>
      <c r="G679" s="235"/>
      <c r="H679" s="235"/>
      <c r="I679" s="205"/>
      <c r="J679" s="205"/>
      <c r="K679" s="205"/>
      <c r="L679" s="205"/>
      <c r="M679" s="239"/>
      <c r="N679" s="235"/>
      <c r="O679" s="240"/>
      <c r="P679" s="238"/>
      <c r="Q679" s="240"/>
      <c r="R679" s="241"/>
      <c r="S679" s="240"/>
      <c r="T679" s="240"/>
      <c r="U679" s="66"/>
    </row>
    <row r="680" spans="2:21" x14ac:dyDescent="0.25">
      <c r="B680" s="66"/>
      <c r="C680" s="235"/>
      <c r="D680" s="236"/>
      <c r="E680" s="237"/>
      <c r="F680" s="238"/>
      <c r="G680" s="235"/>
      <c r="H680" s="235"/>
      <c r="I680" s="205"/>
      <c r="J680" s="205"/>
      <c r="K680" s="205"/>
      <c r="L680" s="205"/>
      <c r="M680" s="239"/>
      <c r="N680" s="235"/>
      <c r="O680" s="240"/>
      <c r="P680" s="238"/>
      <c r="Q680" s="240"/>
      <c r="R680" s="241"/>
      <c r="S680" s="240"/>
      <c r="T680" s="240"/>
      <c r="U680" s="66"/>
    </row>
    <row r="681" spans="2:21" x14ac:dyDescent="0.25">
      <c r="B681" s="66"/>
      <c r="C681" s="235"/>
      <c r="D681" s="236"/>
      <c r="E681" s="237"/>
      <c r="F681" s="238"/>
      <c r="G681" s="235"/>
      <c r="H681" s="235"/>
      <c r="I681" s="205"/>
      <c r="J681" s="205"/>
      <c r="K681" s="205"/>
      <c r="L681" s="205"/>
      <c r="M681" s="239"/>
      <c r="N681" s="235"/>
      <c r="O681" s="240"/>
      <c r="P681" s="238"/>
      <c r="Q681" s="240"/>
      <c r="R681" s="241"/>
      <c r="S681" s="240"/>
      <c r="T681" s="240"/>
      <c r="U681" s="66"/>
    </row>
    <row r="682" spans="2:21" x14ac:dyDescent="0.25">
      <c r="B682" s="66"/>
      <c r="C682" s="235"/>
      <c r="D682" s="236"/>
      <c r="E682" s="237"/>
      <c r="F682" s="238"/>
      <c r="G682" s="235"/>
      <c r="H682" s="235"/>
      <c r="I682" s="205"/>
      <c r="J682" s="205"/>
      <c r="K682" s="205"/>
      <c r="L682" s="205"/>
      <c r="M682" s="239"/>
      <c r="N682" s="235"/>
      <c r="O682" s="240"/>
      <c r="P682" s="238"/>
      <c r="Q682" s="240"/>
      <c r="R682" s="241"/>
      <c r="S682" s="240"/>
      <c r="T682" s="240"/>
      <c r="U682" s="66"/>
    </row>
    <row r="683" spans="2:21" x14ac:dyDescent="0.25">
      <c r="B683" s="66"/>
      <c r="C683" s="235"/>
      <c r="D683" s="236"/>
      <c r="E683" s="237"/>
      <c r="F683" s="238"/>
      <c r="G683" s="235"/>
      <c r="H683" s="235"/>
      <c r="I683" s="205"/>
      <c r="J683" s="205"/>
      <c r="K683" s="205"/>
      <c r="L683" s="205"/>
      <c r="M683" s="239"/>
      <c r="N683" s="235"/>
      <c r="O683" s="240"/>
      <c r="P683" s="238"/>
      <c r="Q683" s="240"/>
      <c r="R683" s="241"/>
      <c r="S683" s="240"/>
      <c r="T683" s="240"/>
      <c r="U683" s="66"/>
    </row>
    <row r="684" spans="2:21" x14ac:dyDescent="0.25">
      <c r="B684" s="66"/>
      <c r="C684" s="235"/>
      <c r="D684" s="236"/>
      <c r="E684" s="237"/>
      <c r="F684" s="238"/>
      <c r="G684" s="235"/>
      <c r="H684" s="235"/>
      <c r="I684" s="205"/>
      <c r="J684" s="205"/>
      <c r="K684" s="205"/>
      <c r="L684" s="205"/>
      <c r="M684" s="239"/>
      <c r="N684" s="235"/>
      <c r="O684" s="240"/>
      <c r="P684" s="238"/>
      <c r="Q684" s="240"/>
      <c r="R684" s="241"/>
      <c r="S684" s="240"/>
      <c r="T684" s="240"/>
      <c r="U684" s="66"/>
    </row>
    <row r="685" spans="2:21" x14ac:dyDescent="0.25">
      <c r="B685" s="66"/>
      <c r="C685" s="235"/>
      <c r="D685" s="236"/>
      <c r="E685" s="237"/>
      <c r="F685" s="238"/>
      <c r="G685" s="235"/>
      <c r="H685" s="235"/>
      <c r="I685" s="205"/>
      <c r="J685" s="205"/>
      <c r="K685" s="205"/>
      <c r="L685" s="205"/>
      <c r="M685" s="239"/>
      <c r="N685" s="235"/>
      <c r="O685" s="240"/>
      <c r="P685" s="238"/>
      <c r="Q685" s="240"/>
      <c r="R685" s="241"/>
      <c r="S685" s="240"/>
      <c r="T685" s="240"/>
      <c r="U685" s="66"/>
    </row>
    <row r="686" spans="2:21" x14ac:dyDescent="0.25">
      <c r="B686" s="66"/>
      <c r="C686" s="235"/>
      <c r="D686" s="236"/>
      <c r="E686" s="237"/>
      <c r="F686" s="238"/>
      <c r="G686" s="235"/>
      <c r="H686" s="235"/>
      <c r="I686" s="205"/>
      <c r="J686" s="205"/>
      <c r="K686" s="205"/>
      <c r="L686" s="205"/>
      <c r="M686" s="239"/>
      <c r="N686" s="235"/>
      <c r="O686" s="240"/>
      <c r="P686" s="238"/>
      <c r="Q686" s="240"/>
      <c r="R686" s="241"/>
      <c r="S686" s="240"/>
      <c r="T686" s="240"/>
      <c r="U686" s="66"/>
    </row>
    <row r="687" spans="2:21" x14ac:dyDescent="0.25">
      <c r="B687" s="66"/>
      <c r="C687" s="235"/>
      <c r="D687" s="236"/>
      <c r="E687" s="237"/>
      <c r="F687" s="238"/>
      <c r="G687" s="235"/>
      <c r="H687" s="235"/>
      <c r="I687" s="205"/>
      <c r="J687" s="205"/>
      <c r="K687" s="205"/>
      <c r="L687" s="205"/>
      <c r="M687" s="239"/>
      <c r="N687" s="235"/>
      <c r="O687" s="240"/>
      <c r="P687" s="238"/>
      <c r="Q687" s="240"/>
      <c r="R687" s="241"/>
      <c r="S687" s="240"/>
      <c r="T687" s="240"/>
      <c r="U687" s="66"/>
    </row>
    <row r="688" spans="2:21" x14ac:dyDescent="0.25">
      <c r="B688" s="66"/>
      <c r="C688" s="235"/>
      <c r="D688" s="236"/>
      <c r="E688" s="237"/>
      <c r="F688" s="238"/>
      <c r="G688" s="235"/>
      <c r="H688" s="235"/>
      <c r="I688" s="205"/>
      <c r="J688" s="205"/>
      <c r="K688" s="205"/>
      <c r="L688" s="205"/>
      <c r="M688" s="239"/>
      <c r="N688" s="235"/>
      <c r="O688" s="240"/>
      <c r="P688" s="238"/>
      <c r="Q688" s="240"/>
      <c r="R688" s="241"/>
      <c r="S688" s="240"/>
      <c r="T688" s="240"/>
      <c r="U688" s="66"/>
    </row>
    <row r="689" spans="2:21" x14ac:dyDescent="0.25">
      <c r="B689" s="66"/>
      <c r="C689" s="235"/>
      <c r="D689" s="236"/>
      <c r="E689" s="237"/>
      <c r="F689" s="238"/>
      <c r="G689" s="235"/>
      <c r="H689" s="235"/>
      <c r="I689" s="205"/>
      <c r="J689" s="205"/>
      <c r="K689" s="205"/>
      <c r="L689" s="205"/>
      <c r="M689" s="239"/>
      <c r="N689" s="235"/>
      <c r="O689" s="240"/>
      <c r="P689" s="238"/>
      <c r="Q689" s="240"/>
      <c r="R689" s="241"/>
      <c r="S689" s="240"/>
      <c r="T689" s="240"/>
      <c r="U689" s="66"/>
    </row>
    <row r="690" spans="2:21" x14ac:dyDescent="0.25">
      <c r="B690" s="66"/>
      <c r="C690" s="235"/>
      <c r="D690" s="236"/>
      <c r="E690" s="237"/>
      <c r="F690" s="238"/>
      <c r="G690" s="235"/>
      <c r="H690" s="235"/>
      <c r="I690" s="205"/>
      <c r="J690" s="205"/>
      <c r="K690" s="205"/>
      <c r="L690" s="205"/>
      <c r="M690" s="239"/>
      <c r="N690" s="235"/>
      <c r="O690" s="240"/>
      <c r="P690" s="238"/>
      <c r="Q690" s="240"/>
      <c r="R690" s="241"/>
      <c r="S690" s="240"/>
      <c r="T690" s="240"/>
      <c r="U690" s="66"/>
    </row>
    <row r="691" spans="2:21" x14ac:dyDescent="0.25">
      <c r="B691" s="66"/>
      <c r="C691" s="235"/>
      <c r="D691" s="236"/>
      <c r="E691" s="237"/>
      <c r="F691" s="238"/>
      <c r="G691" s="235"/>
      <c r="H691" s="235"/>
      <c r="I691" s="205"/>
      <c r="J691" s="205"/>
      <c r="K691" s="205"/>
      <c r="L691" s="205"/>
      <c r="M691" s="239"/>
      <c r="N691" s="235"/>
      <c r="O691" s="240"/>
      <c r="P691" s="238"/>
      <c r="Q691" s="240"/>
      <c r="R691" s="241"/>
      <c r="S691" s="240"/>
      <c r="T691" s="240"/>
      <c r="U691" s="66"/>
    </row>
    <row r="692" spans="2:21" x14ac:dyDescent="0.25">
      <c r="B692" s="66"/>
      <c r="C692" s="235"/>
      <c r="D692" s="236"/>
      <c r="E692" s="237"/>
      <c r="F692" s="238"/>
      <c r="G692" s="235"/>
      <c r="H692" s="235"/>
      <c r="I692" s="205"/>
      <c r="J692" s="205"/>
      <c r="K692" s="205"/>
      <c r="L692" s="205"/>
      <c r="M692" s="239"/>
      <c r="N692" s="235"/>
      <c r="O692" s="240"/>
      <c r="P692" s="238"/>
      <c r="Q692" s="240"/>
      <c r="R692" s="241"/>
      <c r="S692" s="240"/>
      <c r="T692" s="240"/>
      <c r="U692" s="66"/>
    </row>
    <row r="693" spans="2:21" x14ac:dyDescent="0.25">
      <c r="B693" s="66"/>
      <c r="C693" s="235"/>
      <c r="D693" s="236"/>
      <c r="E693" s="237"/>
      <c r="F693" s="238"/>
      <c r="G693" s="235"/>
      <c r="H693" s="235"/>
      <c r="I693" s="205"/>
      <c r="J693" s="205"/>
      <c r="K693" s="205"/>
      <c r="L693" s="205"/>
      <c r="M693" s="239"/>
      <c r="N693" s="235"/>
      <c r="O693" s="240"/>
      <c r="P693" s="238"/>
      <c r="Q693" s="240"/>
      <c r="R693" s="241"/>
      <c r="S693" s="240"/>
      <c r="T693" s="240"/>
      <c r="U693" s="66"/>
    </row>
    <row r="694" spans="2:21" x14ac:dyDescent="0.25">
      <c r="B694" s="66"/>
      <c r="C694" s="235"/>
      <c r="D694" s="236"/>
      <c r="E694" s="237"/>
      <c r="F694" s="238"/>
      <c r="G694" s="235"/>
      <c r="H694" s="235"/>
      <c r="I694" s="205"/>
      <c r="J694" s="205"/>
      <c r="K694" s="205"/>
      <c r="L694" s="205"/>
      <c r="M694" s="239"/>
      <c r="N694" s="235"/>
      <c r="O694" s="240"/>
      <c r="P694" s="238"/>
      <c r="Q694" s="240"/>
      <c r="R694" s="241"/>
      <c r="S694" s="240"/>
      <c r="T694" s="240"/>
      <c r="U694" s="66"/>
    </row>
    <row r="695" spans="2:21" x14ac:dyDescent="0.25">
      <c r="B695" s="66"/>
      <c r="C695" s="235"/>
      <c r="D695" s="236"/>
      <c r="E695" s="237"/>
      <c r="F695" s="238"/>
      <c r="G695" s="235"/>
      <c r="H695" s="235"/>
      <c r="I695" s="205"/>
      <c r="J695" s="205"/>
      <c r="K695" s="205"/>
      <c r="L695" s="205"/>
      <c r="M695" s="239"/>
      <c r="N695" s="235"/>
      <c r="O695" s="240"/>
      <c r="P695" s="238"/>
      <c r="Q695" s="240"/>
      <c r="R695" s="241"/>
      <c r="S695" s="240"/>
      <c r="T695" s="240"/>
      <c r="U695" s="66"/>
    </row>
    <row r="696" spans="2:21" x14ac:dyDescent="0.25">
      <c r="B696" s="66"/>
      <c r="C696" s="235"/>
      <c r="D696" s="236"/>
      <c r="E696" s="237"/>
      <c r="F696" s="238"/>
      <c r="G696" s="235"/>
      <c r="H696" s="235"/>
      <c r="I696" s="205"/>
      <c r="J696" s="205"/>
      <c r="K696" s="205"/>
      <c r="L696" s="205"/>
      <c r="M696" s="239"/>
      <c r="N696" s="235"/>
      <c r="O696" s="240"/>
      <c r="P696" s="238"/>
      <c r="Q696" s="240"/>
      <c r="R696" s="241"/>
      <c r="S696" s="240"/>
      <c r="T696" s="240"/>
      <c r="U696" s="66"/>
    </row>
    <row r="697" spans="2:21" x14ac:dyDescent="0.25">
      <c r="B697" s="66"/>
      <c r="C697" s="235"/>
      <c r="D697" s="236"/>
      <c r="E697" s="237"/>
      <c r="F697" s="238"/>
      <c r="G697" s="235"/>
      <c r="H697" s="235"/>
      <c r="I697" s="205"/>
      <c r="J697" s="205"/>
      <c r="K697" s="205"/>
      <c r="L697" s="205"/>
      <c r="M697" s="239"/>
      <c r="N697" s="235"/>
      <c r="O697" s="240"/>
      <c r="P697" s="238"/>
      <c r="Q697" s="240"/>
      <c r="R697" s="241"/>
      <c r="S697" s="240"/>
      <c r="T697" s="240"/>
      <c r="U697" s="66"/>
    </row>
    <row r="698" spans="2:21" x14ac:dyDescent="0.25">
      <c r="B698" s="66"/>
      <c r="C698" s="235"/>
      <c r="D698" s="236"/>
      <c r="E698" s="237"/>
      <c r="F698" s="238"/>
      <c r="G698" s="235"/>
      <c r="H698" s="235"/>
      <c r="I698" s="205"/>
      <c r="J698" s="205"/>
      <c r="K698" s="205"/>
      <c r="L698" s="205"/>
      <c r="M698" s="239"/>
      <c r="N698" s="235"/>
      <c r="O698" s="240"/>
      <c r="P698" s="238"/>
      <c r="Q698" s="240"/>
      <c r="R698" s="241"/>
      <c r="S698" s="240"/>
      <c r="T698" s="240"/>
      <c r="U698" s="66"/>
    </row>
    <row r="699" spans="2:21" x14ac:dyDescent="0.25">
      <c r="B699" s="66"/>
      <c r="C699" s="235"/>
      <c r="D699" s="236"/>
      <c r="E699" s="237"/>
      <c r="F699" s="238"/>
      <c r="G699" s="235"/>
      <c r="H699" s="235"/>
      <c r="I699" s="205"/>
      <c r="J699" s="205"/>
      <c r="K699" s="205"/>
      <c r="L699" s="205"/>
      <c r="M699" s="239"/>
      <c r="N699" s="235"/>
      <c r="O699" s="240"/>
      <c r="P699" s="238"/>
      <c r="Q699" s="240"/>
      <c r="R699" s="241"/>
      <c r="S699" s="240"/>
      <c r="T699" s="240"/>
      <c r="U699" s="66"/>
    </row>
    <row r="700" spans="2:21" x14ac:dyDescent="0.25">
      <c r="B700" s="66"/>
      <c r="C700" s="235"/>
      <c r="D700" s="236"/>
      <c r="E700" s="237"/>
      <c r="F700" s="238"/>
      <c r="G700" s="235"/>
      <c r="H700" s="235"/>
      <c r="I700" s="205"/>
      <c r="J700" s="205"/>
      <c r="K700" s="205"/>
      <c r="L700" s="205"/>
      <c r="M700" s="239"/>
      <c r="N700" s="235"/>
      <c r="O700" s="240"/>
      <c r="P700" s="238"/>
      <c r="Q700" s="240"/>
      <c r="R700" s="241"/>
      <c r="S700" s="240"/>
      <c r="T700" s="240"/>
      <c r="U700" s="66"/>
    </row>
    <row r="701" spans="2:21" x14ac:dyDescent="0.25">
      <c r="B701" s="66"/>
      <c r="C701" s="235"/>
      <c r="D701" s="236"/>
      <c r="E701" s="237"/>
      <c r="F701" s="238"/>
      <c r="G701" s="235"/>
      <c r="H701" s="235"/>
      <c r="I701" s="205"/>
      <c r="J701" s="205"/>
      <c r="K701" s="205"/>
      <c r="L701" s="205"/>
      <c r="M701" s="239"/>
      <c r="N701" s="235"/>
      <c r="O701" s="240"/>
      <c r="P701" s="238"/>
      <c r="Q701" s="240"/>
      <c r="R701" s="241"/>
      <c r="S701" s="240"/>
      <c r="T701" s="240"/>
      <c r="U701" s="66"/>
    </row>
    <row r="702" spans="2:21" x14ac:dyDescent="0.25">
      <c r="B702" s="66"/>
      <c r="C702" s="235"/>
      <c r="D702" s="236"/>
      <c r="E702" s="237"/>
      <c r="F702" s="238"/>
      <c r="G702" s="235"/>
      <c r="H702" s="235"/>
      <c r="I702" s="205"/>
      <c r="J702" s="205"/>
      <c r="K702" s="205"/>
      <c r="L702" s="205"/>
      <c r="M702" s="239"/>
      <c r="N702" s="235"/>
      <c r="O702" s="240"/>
      <c r="P702" s="238"/>
      <c r="Q702" s="240"/>
      <c r="R702" s="241"/>
      <c r="S702" s="240"/>
      <c r="T702" s="240"/>
      <c r="U702" s="66"/>
    </row>
    <row r="703" spans="2:21" x14ac:dyDescent="0.25">
      <c r="B703" s="66"/>
      <c r="C703" s="235"/>
      <c r="D703" s="236"/>
      <c r="E703" s="237"/>
      <c r="F703" s="238"/>
      <c r="G703" s="235"/>
      <c r="H703" s="235"/>
      <c r="I703" s="205"/>
      <c r="J703" s="205"/>
      <c r="K703" s="205"/>
      <c r="L703" s="205"/>
      <c r="M703" s="239"/>
      <c r="N703" s="235"/>
      <c r="O703" s="240"/>
      <c r="P703" s="238"/>
      <c r="Q703" s="240"/>
      <c r="R703" s="241"/>
      <c r="S703" s="240"/>
      <c r="T703" s="240"/>
      <c r="U703" s="66"/>
    </row>
    <row r="704" spans="2:21" x14ac:dyDescent="0.25">
      <c r="B704" s="66"/>
      <c r="C704" s="235"/>
      <c r="D704" s="236"/>
      <c r="E704" s="237"/>
      <c r="F704" s="238"/>
      <c r="G704" s="235"/>
      <c r="H704" s="235"/>
      <c r="I704" s="205"/>
      <c r="J704" s="205"/>
      <c r="K704" s="205"/>
      <c r="L704" s="205"/>
      <c r="M704" s="239"/>
      <c r="N704" s="235"/>
      <c r="O704" s="240"/>
      <c r="P704" s="238"/>
      <c r="Q704" s="240"/>
      <c r="R704" s="241"/>
      <c r="S704" s="240"/>
      <c r="T704" s="240"/>
      <c r="U704" s="66"/>
    </row>
    <row r="705" spans="2:21" x14ac:dyDescent="0.25">
      <c r="B705" s="66"/>
      <c r="C705" s="235"/>
      <c r="D705" s="236"/>
      <c r="E705" s="237"/>
      <c r="F705" s="238"/>
      <c r="G705" s="235"/>
      <c r="H705" s="235"/>
      <c r="I705" s="205"/>
      <c r="J705" s="205"/>
      <c r="K705" s="205"/>
      <c r="L705" s="205"/>
      <c r="M705" s="239"/>
      <c r="N705" s="235"/>
      <c r="O705" s="240"/>
      <c r="P705" s="238"/>
      <c r="Q705" s="240"/>
      <c r="R705" s="241"/>
      <c r="S705" s="240"/>
      <c r="T705" s="240"/>
      <c r="U705" s="66"/>
    </row>
    <row r="706" spans="2:21" x14ac:dyDescent="0.25">
      <c r="B706" s="66"/>
      <c r="C706" s="235"/>
      <c r="D706" s="236"/>
      <c r="E706" s="237"/>
      <c r="F706" s="238"/>
      <c r="G706" s="235"/>
      <c r="H706" s="235"/>
      <c r="I706" s="205"/>
      <c r="J706" s="205"/>
      <c r="K706" s="205"/>
      <c r="L706" s="205"/>
      <c r="M706" s="239"/>
      <c r="N706" s="235"/>
      <c r="O706" s="240"/>
      <c r="P706" s="238"/>
      <c r="Q706" s="240"/>
      <c r="R706" s="241"/>
      <c r="S706" s="240"/>
      <c r="T706" s="240"/>
      <c r="U706" s="66"/>
    </row>
    <row r="707" spans="2:21" x14ac:dyDescent="0.25">
      <c r="B707" s="66"/>
      <c r="C707" s="235"/>
      <c r="D707" s="236"/>
      <c r="E707" s="237"/>
      <c r="F707" s="238"/>
      <c r="G707" s="235"/>
      <c r="H707" s="235"/>
      <c r="I707" s="205"/>
      <c r="J707" s="205"/>
      <c r="K707" s="205"/>
      <c r="L707" s="205"/>
      <c r="M707" s="239"/>
      <c r="N707" s="235"/>
      <c r="O707" s="240"/>
      <c r="P707" s="238"/>
      <c r="Q707" s="240"/>
      <c r="R707" s="241"/>
      <c r="S707" s="240"/>
      <c r="T707" s="240"/>
      <c r="U707" s="66"/>
    </row>
    <row r="708" spans="2:21" x14ac:dyDescent="0.25">
      <c r="B708" s="66"/>
      <c r="C708" s="235"/>
      <c r="D708" s="236"/>
      <c r="E708" s="237"/>
      <c r="F708" s="238"/>
      <c r="G708" s="235"/>
      <c r="H708" s="235"/>
      <c r="I708" s="205"/>
      <c r="J708" s="205"/>
      <c r="K708" s="205"/>
      <c r="L708" s="205"/>
      <c r="M708" s="239"/>
      <c r="N708" s="235"/>
      <c r="O708" s="240"/>
      <c r="P708" s="238"/>
      <c r="Q708" s="240"/>
      <c r="R708" s="241"/>
      <c r="S708" s="240"/>
      <c r="T708" s="240"/>
      <c r="U708" s="66"/>
    </row>
    <row r="709" spans="2:21" x14ac:dyDescent="0.25">
      <c r="B709" s="66"/>
      <c r="C709" s="235"/>
      <c r="D709" s="236"/>
      <c r="E709" s="237"/>
      <c r="F709" s="238"/>
      <c r="G709" s="235"/>
      <c r="H709" s="235"/>
      <c r="I709" s="205"/>
      <c r="J709" s="205"/>
      <c r="K709" s="205"/>
      <c r="L709" s="205"/>
      <c r="M709" s="239"/>
      <c r="N709" s="235"/>
      <c r="O709" s="240"/>
      <c r="P709" s="238"/>
      <c r="Q709" s="240"/>
      <c r="R709" s="241"/>
      <c r="S709" s="240"/>
      <c r="T709" s="240"/>
      <c r="U709" s="66"/>
    </row>
    <row r="710" spans="2:21" x14ac:dyDescent="0.25">
      <c r="B710" s="66"/>
      <c r="C710" s="235"/>
      <c r="D710" s="236"/>
      <c r="E710" s="237"/>
      <c r="F710" s="238"/>
      <c r="G710" s="235"/>
      <c r="H710" s="235"/>
      <c r="I710" s="205"/>
      <c r="J710" s="205"/>
      <c r="K710" s="205"/>
      <c r="L710" s="205"/>
      <c r="M710" s="239"/>
      <c r="N710" s="235"/>
      <c r="O710" s="240"/>
      <c r="P710" s="238"/>
      <c r="Q710" s="240"/>
      <c r="R710" s="241"/>
      <c r="S710" s="240"/>
      <c r="T710" s="240"/>
      <c r="U710" s="66"/>
    </row>
    <row r="711" spans="2:21" x14ac:dyDescent="0.25">
      <c r="B711" s="66"/>
      <c r="C711" s="235"/>
      <c r="D711" s="236"/>
      <c r="E711" s="237"/>
      <c r="F711" s="238"/>
      <c r="G711" s="235"/>
      <c r="H711" s="235"/>
      <c r="I711" s="205"/>
      <c r="J711" s="205"/>
      <c r="K711" s="205"/>
      <c r="L711" s="205"/>
      <c r="M711" s="239"/>
      <c r="N711" s="235"/>
      <c r="O711" s="240"/>
      <c r="P711" s="238"/>
      <c r="Q711" s="240"/>
      <c r="R711" s="241"/>
      <c r="S711" s="240"/>
      <c r="T711" s="240"/>
      <c r="U711" s="66"/>
    </row>
    <row r="712" spans="2:21" x14ac:dyDescent="0.25">
      <c r="B712" s="66"/>
      <c r="C712" s="235"/>
      <c r="D712" s="236"/>
      <c r="E712" s="237"/>
      <c r="F712" s="238"/>
      <c r="G712" s="235"/>
      <c r="H712" s="235"/>
      <c r="I712" s="205"/>
      <c r="J712" s="205"/>
      <c r="K712" s="205"/>
      <c r="L712" s="205"/>
      <c r="M712" s="239"/>
      <c r="N712" s="235"/>
      <c r="O712" s="240"/>
      <c r="P712" s="238"/>
      <c r="Q712" s="240"/>
      <c r="R712" s="241"/>
      <c r="S712" s="240"/>
      <c r="T712" s="240"/>
      <c r="U712" s="66"/>
    </row>
    <row r="713" spans="2:21" x14ac:dyDescent="0.25">
      <c r="B713" s="66"/>
      <c r="C713" s="235"/>
      <c r="D713" s="236"/>
      <c r="E713" s="237"/>
      <c r="F713" s="238"/>
      <c r="G713" s="235"/>
      <c r="H713" s="235"/>
      <c r="I713" s="205"/>
      <c r="J713" s="205"/>
      <c r="K713" s="205"/>
      <c r="L713" s="205"/>
      <c r="M713" s="239"/>
      <c r="N713" s="235"/>
      <c r="O713" s="240"/>
      <c r="P713" s="238"/>
      <c r="Q713" s="240"/>
      <c r="R713" s="241"/>
      <c r="S713" s="240"/>
      <c r="T713" s="240"/>
      <c r="U713" s="66"/>
    </row>
    <row r="714" spans="2:21" x14ac:dyDescent="0.25">
      <c r="B714" s="66"/>
      <c r="C714" s="235"/>
      <c r="D714" s="236"/>
      <c r="E714" s="237"/>
      <c r="F714" s="238"/>
      <c r="G714" s="235"/>
      <c r="H714" s="235"/>
      <c r="I714" s="205"/>
      <c r="J714" s="205"/>
      <c r="K714" s="205"/>
      <c r="L714" s="205"/>
      <c r="M714" s="239"/>
      <c r="N714" s="235"/>
      <c r="O714" s="240"/>
      <c r="P714" s="238"/>
      <c r="Q714" s="240"/>
      <c r="R714" s="241"/>
      <c r="S714" s="240"/>
      <c r="T714" s="240"/>
      <c r="U714" s="66"/>
    </row>
    <row r="715" spans="2:21" x14ac:dyDescent="0.25">
      <c r="B715" s="66"/>
      <c r="C715" s="235"/>
      <c r="D715" s="236"/>
      <c r="E715" s="237"/>
      <c r="F715" s="238"/>
      <c r="G715" s="235"/>
      <c r="H715" s="235"/>
      <c r="I715" s="205"/>
      <c r="J715" s="205"/>
      <c r="K715" s="205"/>
      <c r="L715" s="205"/>
      <c r="M715" s="239"/>
      <c r="N715" s="235"/>
      <c r="O715" s="240"/>
      <c r="P715" s="238"/>
      <c r="Q715" s="240"/>
      <c r="R715" s="241"/>
      <c r="S715" s="240"/>
      <c r="T715" s="240"/>
      <c r="U715" s="66"/>
    </row>
    <row r="716" spans="2:21" x14ac:dyDescent="0.25">
      <c r="B716" s="66"/>
      <c r="C716" s="235"/>
      <c r="D716" s="236"/>
      <c r="E716" s="237"/>
      <c r="F716" s="238"/>
      <c r="G716" s="235"/>
      <c r="H716" s="235"/>
      <c r="I716" s="205"/>
      <c r="J716" s="205"/>
      <c r="K716" s="205"/>
      <c r="L716" s="205"/>
      <c r="M716" s="239"/>
      <c r="N716" s="235"/>
      <c r="O716" s="240"/>
      <c r="P716" s="238"/>
      <c r="Q716" s="240"/>
      <c r="R716" s="241"/>
      <c r="S716" s="240"/>
      <c r="T716" s="240"/>
      <c r="U716" s="66"/>
    </row>
    <row r="717" spans="2:21" x14ac:dyDescent="0.25">
      <c r="B717" s="66"/>
      <c r="C717" s="235"/>
      <c r="D717" s="236"/>
      <c r="E717" s="237"/>
      <c r="F717" s="238"/>
      <c r="G717" s="235"/>
      <c r="H717" s="235"/>
      <c r="I717" s="205"/>
      <c r="J717" s="205"/>
      <c r="K717" s="205"/>
      <c r="L717" s="205"/>
      <c r="M717" s="239"/>
      <c r="N717" s="235"/>
      <c r="O717" s="240"/>
      <c r="P717" s="238"/>
      <c r="Q717" s="240"/>
      <c r="R717" s="241"/>
      <c r="S717" s="240"/>
      <c r="T717" s="240"/>
      <c r="U717" s="66"/>
    </row>
    <row r="718" spans="2:21" x14ac:dyDescent="0.25">
      <c r="B718" s="66"/>
      <c r="C718" s="235"/>
      <c r="D718" s="236"/>
      <c r="E718" s="237"/>
      <c r="F718" s="238"/>
      <c r="G718" s="235"/>
      <c r="H718" s="235"/>
      <c r="I718" s="205"/>
      <c r="J718" s="205"/>
      <c r="K718" s="205"/>
      <c r="L718" s="205"/>
      <c r="M718" s="239"/>
      <c r="N718" s="235"/>
      <c r="O718" s="240"/>
      <c r="P718" s="238"/>
      <c r="Q718" s="240"/>
      <c r="R718" s="241"/>
      <c r="S718" s="240"/>
      <c r="T718" s="240"/>
      <c r="U718" s="66"/>
    </row>
    <row r="719" spans="2:21" x14ac:dyDescent="0.25">
      <c r="B719" s="66"/>
      <c r="C719" s="235"/>
      <c r="D719" s="236"/>
      <c r="E719" s="237"/>
      <c r="F719" s="238"/>
      <c r="G719" s="235"/>
      <c r="H719" s="235"/>
      <c r="I719" s="205"/>
      <c r="J719" s="205"/>
      <c r="K719" s="205"/>
      <c r="L719" s="205"/>
      <c r="M719" s="239"/>
      <c r="N719" s="235"/>
      <c r="O719" s="240"/>
      <c r="P719" s="238"/>
      <c r="Q719" s="240"/>
      <c r="R719" s="241"/>
      <c r="S719" s="240"/>
      <c r="T719" s="240"/>
      <c r="U719" s="66"/>
    </row>
    <row r="720" spans="2:21" x14ac:dyDescent="0.25">
      <c r="B720" s="66"/>
      <c r="C720" s="235"/>
      <c r="D720" s="236"/>
      <c r="E720" s="237"/>
      <c r="F720" s="238"/>
      <c r="G720" s="235"/>
      <c r="H720" s="235"/>
      <c r="I720" s="205"/>
      <c r="J720" s="205"/>
      <c r="K720" s="205"/>
      <c r="L720" s="205"/>
      <c r="M720" s="239"/>
      <c r="N720" s="235"/>
      <c r="O720" s="240"/>
      <c r="P720" s="238"/>
      <c r="Q720" s="240"/>
      <c r="R720" s="241"/>
      <c r="S720" s="240"/>
      <c r="T720" s="240"/>
      <c r="U720" s="66"/>
    </row>
    <row r="721" spans="2:21" x14ac:dyDescent="0.25">
      <c r="B721" s="66"/>
      <c r="C721" s="235"/>
      <c r="D721" s="236"/>
      <c r="E721" s="237"/>
      <c r="F721" s="238"/>
      <c r="G721" s="235"/>
      <c r="H721" s="235"/>
      <c r="I721" s="205"/>
      <c r="J721" s="205"/>
      <c r="K721" s="205"/>
      <c r="L721" s="205"/>
      <c r="M721" s="239"/>
      <c r="N721" s="235"/>
      <c r="O721" s="240"/>
      <c r="P721" s="238"/>
      <c r="Q721" s="240"/>
      <c r="R721" s="241"/>
      <c r="S721" s="240"/>
      <c r="T721" s="240"/>
      <c r="U721" s="66"/>
    </row>
    <row r="722" spans="2:21" x14ac:dyDescent="0.25">
      <c r="B722" s="66"/>
      <c r="C722" s="235"/>
      <c r="D722" s="236"/>
      <c r="E722" s="237"/>
      <c r="F722" s="238"/>
      <c r="G722" s="235"/>
      <c r="H722" s="235"/>
      <c r="I722" s="205"/>
      <c r="J722" s="205"/>
      <c r="K722" s="205"/>
      <c r="L722" s="205"/>
      <c r="M722" s="239"/>
      <c r="N722" s="235"/>
      <c r="O722" s="240"/>
      <c r="P722" s="238"/>
      <c r="Q722" s="240"/>
      <c r="R722" s="241"/>
      <c r="S722" s="240"/>
      <c r="T722" s="240"/>
      <c r="U722" s="66"/>
    </row>
    <row r="723" spans="2:21" x14ac:dyDescent="0.25">
      <c r="B723" s="66"/>
      <c r="C723" s="235"/>
      <c r="D723" s="236"/>
      <c r="E723" s="237"/>
      <c r="F723" s="238"/>
      <c r="G723" s="235"/>
      <c r="H723" s="235"/>
      <c r="I723" s="205"/>
      <c r="J723" s="205"/>
      <c r="K723" s="205"/>
      <c r="L723" s="205"/>
      <c r="M723" s="239"/>
      <c r="N723" s="235"/>
      <c r="O723" s="240"/>
      <c r="P723" s="238"/>
      <c r="Q723" s="240"/>
      <c r="R723" s="241"/>
      <c r="S723" s="240"/>
      <c r="T723" s="240"/>
      <c r="U723" s="66"/>
    </row>
    <row r="724" spans="2:21" x14ac:dyDescent="0.25">
      <c r="B724" s="66"/>
      <c r="C724" s="235"/>
      <c r="D724" s="236"/>
      <c r="E724" s="237"/>
      <c r="F724" s="238"/>
      <c r="G724" s="235"/>
      <c r="H724" s="235"/>
      <c r="I724" s="205"/>
      <c r="J724" s="205"/>
      <c r="K724" s="205"/>
      <c r="L724" s="205"/>
      <c r="M724" s="239"/>
      <c r="N724" s="235"/>
      <c r="O724" s="240"/>
      <c r="P724" s="238"/>
      <c r="Q724" s="240"/>
      <c r="R724" s="241"/>
      <c r="S724" s="240"/>
      <c r="T724" s="240"/>
      <c r="U724" s="66"/>
    </row>
    <row r="725" spans="2:21" x14ac:dyDescent="0.25">
      <c r="B725" s="66"/>
      <c r="C725" s="235"/>
      <c r="D725" s="236"/>
      <c r="E725" s="237"/>
      <c r="F725" s="238"/>
      <c r="G725" s="235"/>
      <c r="H725" s="235"/>
      <c r="I725" s="205"/>
      <c r="J725" s="205"/>
      <c r="K725" s="205"/>
      <c r="L725" s="205"/>
      <c r="M725" s="239"/>
      <c r="N725" s="235"/>
      <c r="O725" s="240"/>
      <c r="P725" s="238"/>
      <c r="Q725" s="240"/>
      <c r="R725" s="241"/>
      <c r="S725" s="240"/>
      <c r="T725" s="240"/>
      <c r="U725" s="66"/>
    </row>
    <row r="726" spans="2:21" x14ac:dyDescent="0.25">
      <c r="B726" s="66"/>
      <c r="C726" s="235"/>
      <c r="D726" s="236"/>
      <c r="E726" s="237"/>
      <c r="F726" s="238"/>
      <c r="G726" s="235"/>
      <c r="H726" s="235"/>
      <c r="I726" s="205"/>
      <c r="J726" s="205"/>
      <c r="K726" s="205"/>
      <c r="L726" s="205"/>
      <c r="M726" s="239"/>
      <c r="N726" s="235"/>
      <c r="O726" s="240"/>
      <c r="P726" s="238"/>
      <c r="Q726" s="240"/>
      <c r="R726" s="241"/>
      <c r="S726" s="240"/>
      <c r="T726" s="240"/>
      <c r="U726" s="66"/>
    </row>
    <row r="727" spans="2:21" x14ac:dyDescent="0.25">
      <c r="B727" s="66"/>
      <c r="C727" s="235"/>
      <c r="D727" s="236"/>
      <c r="E727" s="237"/>
      <c r="F727" s="238"/>
      <c r="G727" s="235"/>
      <c r="H727" s="235"/>
      <c r="I727" s="205"/>
      <c r="J727" s="205"/>
      <c r="K727" s="205"/>
      <c r="L727" s="205"/>
      <c r="M727" s="239"/>
      <c r="N727" s="235"/>
      <c r="O727" s="240"/>
      <c r="P727" s="238"/>
      <c r="Q727" s="240"/>
      <c r="R727" s="241"/>
      <c r="S727" s="240"/>
      <c r="T727" s="240"/>
      <c r="U727" s="66"/>
    </row>
    <row r="728" spans="2:21" x14ac:dyDescent="0.25">
      <c r="B728" s="66"/>
      <c r="C728" s="235"/>
      <c r="D728" s="236"/>
      <c r="E728" s="237"/>
      <c r="F728" s="238"/>
      <c r="G728" s="235"/>
      <c r="H728" s="235"/>
      <c r="I728" s="205"/>
      <c r="J728" s="205"/>
      <c r="K728" s="205"/>
      <c r="L728" s="205"/>
      <c r="M728" s="239"/>
      <c r="N728" s="235"/>
      <c r="O728" s="240"/>
      <c r="P728" s="238"/>
      <c r="Q728" s="240"/>
      <c r="R728" s="241"/>
      <c r="S728" s="240"/>
      <c r="T728" s="240"/>
      <c r="U728" s="66"/>
    </row>
    <row r="729" spans="2:21" x14ac:dyDescent="0.25">
      <c r="B729" s="66"/>
      <c r="C729" s="235"/>
      <c r="D729" s="236"/>
      <c r="E729" s="237"/>
      <c r="F729" s="238"/>
      <c r="G729" s="235"/>
      <c r="H729" s="235"/>
      <c r="I729" s="205"/>
      <c r="J729" s="205"/>
      <c r="K729" s="205"/>
      <c r="L729" s="205"/>
      <c r="M729" s="239"/>
      <c r="N729" s="235"/>
      <c r="O729" s="240"/>
      <c r="P729" s="238"/>
      <c r="Q729" s="240"/>
      <c r="R729" s="241"/>
      <c r="S729" s="240"/>
      <c r="T729" s="240"/>
      <c r="U729" s="66"/>
    </row>
    <row r="730" spans="2:21" x14ac:dyDescent="0.25">
      <c r="B730" s="66"/>
      <c r="C730" s="235"/>
      <c r="D730" s="236"/>
      <c r="E730" s="237"/>
      <c r="F730" s="238"/>
      <c r="G730" s="235"/>
      <c r="H730" s="235"/>
      <c r="I730" s="205"/>
      <c r="J730" s="205"/>
      <c r="K730" s="205"/>
      <c r="L730" s="205"/>
      <c r="M730" s="239"/>
      <c r="N730" s="235"/>
      <c r="O730" s="240"/>
      <c r="P730" s="238"/>
      <c r="Q730" s="240"/>
      <c r="R730" s="241"/>
      <c r="S730" s="240"/>
      <c r="T730" s="240"/>
      <c r="U730" s="66"/>
    </row>
    <row r="731" spans="2:21" x14ac:dyDescent="0.25">
      <c r="B731" s="66"/>
      <c r="C731" s="235"/>
      <c r="D731" s="236"/>
      <c r="E731" s="237"/>
      <c r="F731" s="238"/>
      <c r="G731" s="235"/>
      <c r="H731" s="235"/>
      <c r="I731" s="205"/>
      <c r="J731" s="205"/>
      <c r="K731" s="205"/>
      <c r="L731" s="205"/>
      <c r="M731" s="239"/>
      <c r="N731" s="235"/>
      <c r="O731" s="240"/>
      <c r="P731" s="238"/>
      <c r="Q731" s="240"/>
      <c r="R731" s="241"/>
      <c r="S731" s="240"/>
      <c r="T731" s="240"/>
      <c r="U731" s="66"/>
    </row>
    <row r="732" spans="2:21" x14ac:dyDescent="0.25">
      <c r="B732" s="66"/>
      <c r="C732" s="235"/>
      <c r="D732" s="236"/>
      <c r="E732" s="237"/>
      <c r="F732" s="238"/>
      <c r="G732" s="235"/>
      <c r="H732" s="235"/>
      <c r="I732" s="205"/>
      <c r="J732" s="205"/>
      <c r="K732" s="205"/>
      <c r="L732" s="205"/>
      <c r="M732" s="239"/>
      <c r="N732" s="235"/>
      <c r="O732" s="240"/>
      <c r="P732" s="238"/>
      <c r="Q732" s="240"/>
      <c r="R732" s="241"/>
      <c r="S732" s="240"/>
      <c r="T732" s="240"/>
      <c r="U732" s="66"/>
    </row>
    <row r="733" spans="2:21" x14ac:dyDescent="0.25">
      <c r="B733" s="66"/>
      <c r="C733" s="235"/>
      <c r="D733" s="236"/>
      <c r="E733" s="237"/>
      <c r="F733" s="238"/>
      <c r="G733" s="235"/>
      <c r="H733" s="235"/>
      <c r="I733" s="205"/>
      <c r="J733" s="205"/>
      <c r="K733" s="205"/>
      <c r="L733" s="205"/>
      <c r="M733" s="239"/>
      <c r="N733" s="235"/>
      <c r="O733" s="240"/>
      <c r="P733" s="238"/>
      <c r="Q733" s="240"/>
      <c r="R733" s="241"/>
      <c r="S733" s="240"/>
      <c r="T733" s="240"/>
      <c r="U733" s="66"/>
    </row>
    <row r="734" spans="2:21" x14ac:dyDescent="0.25">
      <c r="B734" s="66"/>
      <c r="C734" s="235"/>
      <c r="D734" s="236"/>
      <c r="E734" s="237"/>
      <c r="F734" s="238"/>
      <c r="G734" s="235"/>
      <c r="H734" s="235"/>
      <c r="I734" s="205"/>
      <c r="J734" s="205"/>
      <c r="K734" s="205"/>
      <c r="L734" s="205"/>
      <c r="M734" s="239"/>
      <c r="N734" s="235"/>
      <c r="O734" s="240"/>
      <c r="P734" s="238"/>
      <c r="Q734" s="240"/>
      <c r="R734" s="241"/>
      <c r="S734" s="240"/>
      <c r="T734" s="240"/>
      <c r="U734" s="66"/>
    </row>
    <row r="735" spans="2:21" x14ac:dyDescent="0.25">
      <c r="B735" s="66"/>
      <c r="C735" s="235"/>
      <c r="D735" s="236"/>
      <c r="E735" s="237"/>
      <c r="F735" s="238"/>
      <c r="G735" s="235"/>
      <c r="H735" s="235"/>
      <c r="I735" s="205"/>
      <c r="J735" s="205"/>
      <c r="K735" s="205"/>
      <c r="L735" s="205"/>
      <c r="M735" s="239"/>
      <c r="N735" s="235"/>
      <c r="O735" s="240"/>
      <c r="P735" s="238"/>
      <c r="Q735" s="240"/>
      <c r="R735" s="241"/>
      <c r="S735" s="240"/>
      <c r="T735" s="240"/>
      <c r="U735" s="66"/>
    </row>
    <row r="736" spans="2:21" x14ac:dyDescent="0.25">
      <c r="B736" s="66"/>
      <c r="C736" s="235"/>
      <c r="D736" s="236"/>
      <c r="E736" s="237"/>
      <c r="F736" s="238"/>
      <c r="G736" s="235"/>
      <c r="H736" s="235"/>
      <c r="I736" s="205"/>
      <c r="J736" s="205"/>
      <c r="K736" s="205"/>
      <c r="L736" s="205"/>
      <c r="M736" s="239"/>
      <c r="N736" s="235"/>
      <c r="O736" s="240"/>
      <c r="P736" s="238"/>
      <c r="Q736" s="240"/>
      <c r="R736" s="241"/>
      <c r="S736" s="240"/>
      <c r="T736" s="240"/>
      <c r="U736" s="66"/>
    </row>
    <row r="737" spans="2:21" x14ac:dyDescent="0.25">
      <c r="B737" s="66"/>
      <c r="C737" s="235"/>
      <c r="D737" s="236"/>
      <c r="E737" s="237"/>
      <c r="F737" s="238"/>
      <c r="G737" s="235"/>
      <c r="H737" s="235"/>
      <c r="I737" s="205"/>
      <c r="J737" s="205"/>
      <c r="K737" s="205"/>
      <c r="L737" s="205"/>
      <c r="M737" s="239"/>
      <c r="N737" s="235"/>
      <c r="O737" s="240"/>
      <c r="P737" s="238"/>
      <c r="Q737" s="240"/>
      <c r="R737" s="241"/>
      <c r="S737" s="240"/>
      <c r="T737" s="240"/>
      <c r="U737" s="66"/>
    </row>
    <row r="738" spans="2:21" x14ac:dyDescent="0.25">
      <c r="B738" s="66"/>
      <c r="C738" s="235"/>
      <c r="D738" s="236"/>
      <c r="E738" s="237"/>
      <c r="F738" s="238"/>
      <c r="G738" s="235"/>
      <c r="H738" s="235"/>
      <c r="I738" s="205"/>
      <c r="J738" s="205"/>
      <c r="K738" s="205"/>
      <c r="L738" s="205"/>
      <c r="M738" s="239"/>
      <c r="N738" s="235"/>
      <c r="O738" s="240"/>
      <c r="P738" s="238"/>
      <c r="Q738" s="240"/>
      <c r="R738" s="241"/>
      <c r="S738" s="240"/>
      <c r="T738" s="240"/>
      <c r="U738" s="66"/>
    </row>
    <row r="739" spans="2:21" x14ac:dyDescent="0.25">
      <c r="B739" s="66"/>
      <c r="C739" s="235"/>
      <c r="D739" s="236"/>
      <c r="E739" s="237"/>
      <c r="F739" s="238"/>
      <c r="G739" s="235"/>
      <c r="H739" s="235"/>
      <c r="I739" s="205"/>
      <c r="J739" s="205"/>
      <c r="K739" s="205"/>
      <c r="L739" s="205"/>
      <c r="M739" s="239"/>
      <c r="N739" s="235"/>
      <c r="O739" s="240"/>
      <c r="P739" s="238"/>
      <c r="Q739" s="240"/>
      <c r="R739" s="241"/>
      <c r="S739" s="240"/>
      <c r="T739" s="240"/>
      <c r="U739" s="66"/>
    </row>
    <row r="740" spans="2:21" x14ac:dyDescent="0.25">
      <c r="B740" s="66"/>
      <c r="C740" s="235"/>
      <c r="D740" s="236"/>
      <c r="E740" s="237"/>
      <c r="F740" s="238"/>
      <c r="G740" s="235"/>
      <c r="H740" s="235"/>
      <c r="I740" s="205"/>
      <c r="J740" s="205"/>
      <c r="K740" s="205"/>
      <c r="L740" s="205"/>
      <c r="M740" s="239"/>
      <c r="N740" s="235"/>
      <c r="O740" s="240"/>
      <c r="P740" s="238"/>
      <c r="Q740" s="240"/>
      <c r="R740" s="241"/>
      <c r="S740" s="240"/>
      <c r="T740" s="240"/>
      <c r="U740" s="66"/>
    </row>
    <row r="741" spans="2:21" x14ac:dyDescent="0.25">
      <c r="B741" s="66"/>
      <c r="C741" s="235"/>
      <c r="D741" s="236"/>
      <c r="E741" s="237"/>
      <c r="F741" s="238"/>
      <c r="G741" s="235"/>
      <c r="H741" s="235"/>
      <c r="I741" s="205"/>
      <c r="J741" s="205"/>
      <c r="K741" s="205"/>
      <c r="L741" s="205"/>
      <c r="M741" s="239"/>
      <c r="N741" s="235"/>
      <c r="O741" s="240"/>
      <c r="P741" s="238"/>
      <c r="Q741" s="240"/>
      <c r="R741" s="241"/>
      <c r="S741" s="240"/>
      <c r="T741" s="240"/>
      <c r="U741" s="66"/>
    </row>
    <row r="742" spans="2:21" x14ac:dyDescent="0.25">
      <c r="B742" s="66"/>
      <c r="C742" s="235"/>
      <c r="D742" s="236"/>
      <c r="E742" s="237"/>
      <c r="F742" s="238"/>
      <c r="G742" s="235"/>
      <c r="H742" s="235"/>
      <c r="I742" s="205"/>
      <c r="J742" s="205"/>
      <c r="K742" s="205"/>
      <c r="L742" s="205"/>
      <c r="M742" s="239"/>
      <c r="N742" s="235"/>
      <c r="O742" s="240"/>
      <c r="P742" s="238"/>
      <c r="Q742" s="240"/>
      <c r="R742" s="241"/>
      <c r="S742" s="240"/>
      <c r="T742" s="240"/>
      <c r="U742" s="66"/>
    </row>
    <row r="743" spans="2:21" x14ac:dyDescent="0.25">
      <c r="B743" s="66"/>
      <c r="C743" s="235"/>
      <c r="D743" s="236"/>
      <c r="E743" s="237"/>
      <c r="F743" s="238"/>
      <c r="G743" s="235"/>
      <c r="H743" s="235"/>
      <c r="I743" s="205"/>
      <c r="J743" s="205"/>
      <c r="K743" s="205"/>
      <c r="L743" s="205"/>
      <c r="M743" s="239"/>
      <c r="N743" s="235"/>
      <c r="O743" s="240"/>
      <c r="P743" s="238"/>
      <c r="Q743" s="240"/>
      <c r="R743" s="241"/>
      <c r="S743" s="240"/>
      <c r="T743" s="240"/>
      <c r="U743" s="66"/>
    </row>
    <row r="744" spans="2:21" x14ac:dyDescent="0.25">
      <c r="B744" s="66"/>
      <c r="C744" s="235"/>
      <c r="D744" s="236"/>
      <c r="E744" s="237"/>
      <c r="F744" s="238"/>
      <c r="G744" s="235"/>
      <c r="H744" s="235"/>
      <c r="I744" s="205"/>
      <c r="J744" s="205"/>
      <c r="K744" s="205"/>
      <c r="L744" s="205"/>
      <c r="M744" s="239"/>
      <c r="N744" s="235"/>
      <c r="O744" s="240"/>
      <c r="P744" s="238"/>
      <c r="Q744" s="240"/>
      <c r="R744" s="241"/>
      <c r="S744" s="240"/>
      <c r="T744" s="240"/>
      <c r="U744" s="66"/>
    </row>
    <row r="745" spans="2:21" x14ac:dyDescent="0.25">
      <c r="B745" s="66"/>
      <c r="C745" s="235"/>
      <c r="D745" s="236"/>
      <c r="E745" s="237"/>
      <c r="F745" s="238"/>
      <c r="G745" s="235"/>
      <c r="H745" s="235"/>
      <c r="I745" s="205"/>
      <c r="J745" s="205"/>
      <c r="K745" s="205"/>
      <c r="L745" s="205"/>
      <c r="M745" s="239"/>
      <c r="N745" s="235"/>
      <c r="O745" s="240"/>
      <c r="P745" s="238"/>
      <c r="Q745" s="240"/>
      <c r="R745" s="241"/>
      <c r="S745" s="240"/>
      <c r="T745" s="240"/>
      <c r="U745" s="66"/>
    </row>
    <row r="746" spans="2:21" x14ac:dyDescent="0.25">
      <c r="B746" s="66"/>
      <c r="C746" s="235"/>
      <c r="D746" s="236"/>
      <c r="E746" s="237"/>
      <c r="F746" s="238"/>
      <c r="G746" s="235"/>
      <c r="H746" s="235"/>
      <c r="I746" s="205"/>
      <c r="J746" s="205"/>
      <c r="K746" s="205"/>
      <c r="L746" s="205"/>
      <c r="M746" s="239"/>
      <c r="N746" s="235"/>
      <c r="O746" s="240"/>
      <c r="P746" s="238"/>
      <c r="Q746" s="240"/>
      <c r="R746" s="241"/>
      <c r="S746" s="240"/>
      <c r="T746" s="240"/>
      <c r="U746" s="66"/>
    </row>
    <row r="747" spans="2:21" x14ac:dyDescent="0.25">
      <c r="B747" s="66"/>
      <c r="C747" s="235"/>
      <c r="D747" s="236"/>
      <c r="E747" s="237"/>
      <c r="F747" s="238"/>
      <c r="G747" s="235"/>
      <c r="H747" s="235"/>
      <c r="I747" s="205"/>
      <c r="J747" s="205"/>
      <c r="K747" s="205"/>
      <c r="L747" s="205"/>
      <c r="M747" s="239"/>
      <c r="N747" s="235"/>
      <c r="O747" s="240"/>
      <c r="P747" s="238"/>
      <c r="Q747" s="240"/>
      <c r="R747" s="241"/>
      <c r="S747" s="240"/>
      <c r="T747" s="240"/>
      <c r="U747" s="66"/>
    </row>
    <row r="748" spans="2:21" x14ac:dyDescent="0.25">
      <c r="B748" s="66"/>
      <c r="C748" s="235"/>
      <c r="D748" s="236"/>
      <c r="E748" s="237"/>
      <c r="F748" s="238"/>
      <c r="G748" s="235"/>
      <c r="H748" s="235"/>
      <c r="I748" s="205"/>
      <c r="J748" s="205"/>
      <c r="K748" s="205"/>
      <c r="L748" s="205"/>
      <c r="M748" s="239"/>
      <c r="N748" s="235"/>
      <c r="O748" s="240"/>
      <c r="P748" s="238"/>
      <c r="Q748" s="240"/>
      <c r="R748" s="241"/>
      <c r="S748" s="240"/>
      <c r="T748" s="240"/>
      <c r="U748" s="66"/>
    </row>
    <row r="749" spans="2:21" x14ac:dyDescent="0.25">
      <c r="B749" s="66"/>
      <c r="C749" s="235"/>
      <c r="D749" s="236"/>
      <c r="E749" s="237"/>
      <c r="F749" s="238"/>
      <c r="G749" s="235"/>
      <c r="H749" s="235"/>
      <c r="I749" s="205"/>
      <c r="J749" s="205"/>
      <c r="K749" s="205"/>
      <c r="L749" s="205"/>
      <c r="M749" s="239"/>
      <c r="N749" s="235"/>
      <c r="O749" s="240"/>
      <c r="P749" s="238"/>
      <c r="Q749" s="240"/>
      <c r="R749" s="241"/>
      <c r="S749" s="240"/>
      <c r="T749" s="240"/>
      <c r="U749" s="66"/>
    </row>
    <row r="750" spans="2:21" x14ac:dyDescent="0.25">
      <c r="B750" s="66"/>
      <c r="C750" s="235"/>
      <c r="D750" s="236"/>
      <c r="E750" s="237"/>
      <c r="F750" s="238"/>
      <c r="G750" s="235"/>
      <c r="H750" s="235"/>
      <c r="I750" s="205"/>
      <c r="J750" s="205"/>
      <c r="K750" s="205"/>
      <c r="L750" s="205"/>
      <c r="M750" s="239"/>
      <c r="N750" s="235"/>
      <c r="O750" s="240"/>
      <c r="P750" s="238"/>
      <c r="Q750" s="240"/>
      <c r="R750" s="241"/>
      <c r="S750" s="240"/>
      <c r="T750" s="240"/>
      <c r="U750" s="66"/>
    </row>
    <row r="751" spans="2:21" x14ac:dyDescent="0.25">
      <c r="B751" s="66"/>
      <c r="C751" s="235"/>
      <c r="D751" s="236"/>
      <c r="E751" s="237"/>
      <c r="F751" s="238"/>
      <c r="G751" s="235"/>
      <c r="H751" s="235"/>
      <c r="I751" s="205"/>
      <c r="J751" s="205"/>
      <c r="K751" s="205"/>
      <c r="L751" s="205"/>
      <c r="M751" s="239"/>
      <c r="N751" s="235"/>
      <c r="O751" s="240"/>
      <c r="P751" s="238"/>
      <c r="Q751" s="240"/>
      <c r="R751" s="241"/>
      <c r="S751" s="240"/>
      <c r="T751" s="240"/>
      <c r="U751" s="66"/>
    </row>
    <row r="752" spans="2:21" x14ac:dyDescent="0.25">
      <c r="B752" s="66"/>
      <c r="C752" s="235"/>
      <c r="D752" s="236"/>
      <c r="E752" s="237"/>
      <c r="F752" s="238"/>
      <c r="G752" s="235"/>
      <c r="H752" s="235"/>
      <c r="I752" s="205"/>
      <c r="J752" s="205"/>
      <c r="K752" s="205"/>
      <c r="L752" s="205"/>
      <c r="M752" s="239"/>
      <c r="N752" s="235"/>
      <c r="O752" s="240"/>
      <c r="P752" s="238"/>
      <c r="Q752" s="240"/>
      <c r="R752" s="241"/>
      <c r="S752" s="240"/>
      <c r="T752" s="240"/>
      <c r="U752" s="66"/>
    </row>
    <row r="753" spans="2:21" x14ac:dyDescent="0.25">
      <c r="B753" s="66"/>
      <c r="C753" s="235"/>
      <c r="D753" s="236"/>
      <c r="E753" s="237"/>
      <c r="F753" s="238"/>
      <c r="G753" s="235"/>
      <c r="H753" s="235"/>
      <c r="I753" s="205"/>
      <c r="J753" s="205"/>
      <c r="K753" s="205"/>
      <c r="L753" s="205"/>
      <c r="M753" s="239"/>
      <c r="N753" s="235"/>
      <c r="O753" s="240"/>
      <c r="P753" s="238"/>
      <c r="Q753" s="240"/>
      <c r="R753" s="241"/>
      <c r="S753" s="240"/>
      <c r="T753" s="240"/>
      <c r="U753" s="66"/>
    </row>
    <row r="754" spans="2:21" x14ac:dyDescent="0.25">
      <c r="B754" s="66"/>
      <c r="C754" s="235"/>
      <c r="D754" s="236"/>
      <c r="E754" s="237"/>
      <c r="F754" s="238"/>
      <c r="G754" s="235"/>
      <c r="H754" s="235"/>
      <c r="I754" s="205"/>
      <c r="J754" s="205"/>
      <c r="K754" s="205"/>
      <c r="L754" s="205"/>
      <c r="M754" s="239"/>
      <c r="N754" s="235"/>
      <c r="O754" s="240"/>
      <c r="P754" s="238"/>
      <c r="Q754" s="240"/>
      <c r="R754" s="241"/>
      <c r="S754" s="240"/>
      <c r="T754" s="240"/>
      <c r="U754" s="66"/>
    </row>
    <row r="755" spans="2:21" x14ac:dyDescent="0.25">
      <c r="B755" s="66"/>
      <c r="C755" s="235"/>
      <c r="D755" s="236"/>
      <c r="E755" s="237"/>
      <c r="F755" s="238"/>
      <c r="G755" s="235"/>
      <c r="H755" s="235"/>
      <c r="I755" s="205"/>
      <c r="J755" s="205"/>
      <c r="K755" s="205"/>
      <c r="L755" s="205"/>
      <c r="M755" s="239"/>
      <c r="N755" s="235"/>
      <c r="O755" s="240"/>
      <c r="P755" s="238"/>
      <c r="Q755" s="240"/>
      <c r="R755" s="241"/>
      <c r="S755" s="240"/>
      <c r="T755" s="240"/>
      <c r="U755" s="66"/>
    </row>
    <row r="756" spans="2:21" x14ac:dyDescent="0.25">
      <c r="B756" s="66"/>
      <c r="C756" s="235"/>
      <c r="D756" s="236"/>
      <c r="E756" s="237"/>
      <c r="F756" s="238"/>
      <c r="G756" s="235"/>
      <c r="H756" s="235"/>
      <c r="I756" s="205"/>
      <c r="J756" s="205"/>
      <c r="K756" s="205"/>
      <c r="L756" s="205"/>
      <c r="M756" s="239"/>
      <c r="N756" s="235"/>
      <c r="O756" s="240"/>
      <c r="P756" s="238"/>
      <c r="Q756" s="240"/>
      <c r="R756" s="241"/>
      <c r="S756" s="240"/>
      <c r="T756" s="240"/>
      <c r="U756" s="66"/>
    </row>
    <row r="757" spans="2:21" x14ac:dyDescent="0.25">
      <c r="B757" s="66"/>
      <c r="C757" s="235"/>
      <c r="D757" s="236"/>
      <c r="E757" s="237"/>
      <c r="F757" s="238"/>
      <c r="G757" s="235"/>
      <c r="H757" s="235"/>
      <c r="I757" s="205"/>
      <c r="J757" s="205"/>
      <c r="K757" s="205"/>
      <c r="L757" s="205"/>
      <c r="M757" s="239"/>
      <c r="N757" s="235"/>
      <c r="O757" s="240"/>
      <c r="P757" s="238"/>
      <c r="Q757" s="240"/>
      <c r="R757" s="241"/>
      <c r="S757" s="240"/>
      <c r="T757" s="240"/>
      <c r="U757" s="66"/>
    </row>
    <row r="758" spans="2:21" x14ac:dyDescent="0.25">
      <c r="B758" s="66"/>
      <c r="C758" s="235"/>
      <c r="D758" s="236"/>
      <c r="E758" s="237"/>
      <c r="F758" s="238"/>
      <c r="G758" s="235"/>
      <c r="H758" s="235"/>
      <c r="I758" s="205"/>
      <c r="J758" s="205"/>
      <c r="K758" s="205"/>
      <c r="L758" s="205"/>
      <c r="M758" s="239"/>
      <c r="N758" s="235"/>
      <c r="O758" s="240"/>
      <c r="P758" s="238"/>
      <c r="Q758" s="240"/>
      <c r="R758" s="241"/>
      <c r="S758" s="240"/>
      <c r="T758" s="240"/>
      <c r="U758" s="66"/>
    </row>
    <row r="759" spans="2:21" x14ac:dyDescent="0.25">
      <c r="B759" s="66"/>
      <c r="C759" s="235"/>
      <c r="D759" s="236"/>
      <c r="E759" s="237"/>
      <c r="F759" s="238"/>
      <c r="G759" s="235"/>
      <c r="H759" s="235"/>
      <c r="I759" s="205"/>
      <c r="J759" s="205"/>
      <c r="K759" s="205"/>
      <c r="L759" s="205"/>
      <c r="M759" s="239"/>
      <c r="N759" s="235"/>
      <c r="O759" s="240"/>
      <c r="P759" s="238"/>
      <c r="Q759" s="240"/>
      <c r="R759" s="241"/>
      <c r="S759" s="240"/>
      <c r="T759" s="240"/>
      <c r="U759" s="66"/>
    </row>
    <row r="760" spans="2:21" x14ac:dyDescent="0.25">
      <c r="B760" s="66"/>
      <c r="C760" s="235"/>
      <c r="D760" s="236"/>
      <c r="E760" s="237"/>
      <c r="F760" s="238"/>
      <c r="G760" s="235"/>
      <c r="H760" s="235"/>
      <c r="I760" s="205"/>
      <c r="J760" s="205"/>
      <c r="K760" s="205"/>
      <c r="L760" s="205"/>
      <c r="M760" s="239"/>
      <c r="N760" s="235"/>
      <c r="O760" s="240"/>
      <c r="P760" s="238"/>
      <c r="Q760" s="240"/>
      <c r="R760" s="241"/>
      <c r="S760" s="240"/>
      <c r="T760" s="240"/>
      <c r="U760" s="66"/>
    </row>
    <row r="761" spans="2:21" x14ac:dyDescent="0.25">
      <c r="B761" s="66"/>
      <c r="C761" s="235"/>
      <c r="D761" s="236"/>
      <c r="E761" s="237"/>
      <c r="F761" s="238"/>
      <c r="G761" s="235"/>
      <c r="H761" s="235"/>
      <c r="I761" s="205"/>
      <c r="J761" s="205"/>
      <c r="K761" s="205"/>
      <c r="L761" s="205"/>
      <c r="M761" s="239"/>
      <c r="N761" s="235"/>
      <c r="O761" s="240"/>
      <c r="P761" s="238"/>
      <c r="Q761" s="240"/>
      <c r="R761" s="241"/>
      <c r="S761" s="240"/>
      <c r="T761" s="240"/>
      <c r="U761" s="66"/>
    </row>
    <row r="762" spans="2:21" x14ac:dyDescent="0.25">
      <c r="B762" s="66"/>
      <c r="C762" s="235"/>
      <c r="D762" s="236"/>
      <c r="E762" s="237"/>
      <c r="F762" s="238"/>
      <c r="G762" s="235"/>
      <c r="H762" s="235"/>
      <c r="I762" s="205"/>
      <c r="J762" s="205"/>
      <c r="K762" s="205"/>
      <c r="L762" s="205"/>
      <c r="M762" s="239"/>
      <c r="N762" s="235"/>
      <c r="O762" s="240"/>
      <c r="P762" s="238"/>
      <c r="Q762" s="240"/>
      <c r="R762" s="241"/>
      <c r="S762" s="240"/>
      <c r="T762" s="240"/>
      <c r="U762" s="66"/>
    </row>
    <row r="763" spans="2:21" x14ac:dyDescent="0.25">
      <c r="B763" s="66"/>
      <c r="C763" s="235"/>
      <c r="D763" s="236"/>
      <c r="E763" s="237"/>
      <c r="F763" s="238"/>
      <c r="G763" s="235"/>
      <c r="H763" s="235"/>
      <c r="I763" s="205"/>
      <c r="J763" s="205"/>
      <c r="K763" s="205"/>
      <c r="L763" s="205"/>
      <c r="M763" s="239"/>
      <c r="N763" s="235"/>
      <c r="O763" s="240"/>
      <c r="P763" s="238"/>
      <c r="Q763" s="240"/>
      <c r="R763" s="241"/>
      <c r="S763" s="240"/>
      <c r="T763" s="240"/>
      <c r="U763" s="66"/>
    </row>
    <row r="764" spans="2:21" x14ac:dyDescent="0.25">
      <c r="B764" s="66"/>
      <c r="C764" s="235"/>
      <c r="D764" s="236"/>
      <c r="E764" s="237"/>
      <c r="F764" s="238"/>
      <c r="G764" s="235"/>
      <c r="H764" s="235"/>
      <c r="I764" s="205"/>
      <c r="J764" s="205"/>
      <c r="K764" s="205"/>
      <c r="L764" s="205"/>
      <c r="M764" s="239"/>
      <c r="N764" s="235"/>
      <c r="O764" s="240"/>
      <c r="P764" s="238"/>
      <c r="Q764" s="240"/>
      <c r="R764" s="241"/>
      <c r="S764" s="240"/>
      <c r="T764" s="240"/>
      <c r="U764" s="66"/>
    </row>
    <row r="765" spans="2:21" x14ac:dyDescent="0.25">
      <c r="B765" s="66"/>
      <c r="C765" s="235"/>
      <c r="D765" s="236"/>
      <c r="E765" s="237"/>
      <c r="F765" s="238"/>
      <c r="G765" s="235"/>
      <c r="H765" s="235"/>
      <c r="I765" s="205"/>
      <c r="J765" s="205"/>
      <c r="K765" s="205"/>
      <c r="L765" s="205"/>
      <c r="M765" s="239"/>
      <c r="N765" s="235"/>
      <c r="O765" s="240"/>
      <c r="P765" s="238"/>
      <c r="Q765" s="240"/>
      <c r="R765" s="241"/>
      <c r="S765" s="240"/>
      <c r="T765" s="240"/>
      <c r="U765" s="66"/>
    </row>
    <row r="766" spans="2:21" x14ac:dyDescent="0.25">
      <c r="B766" s="66"/>
      <c r="C766" s="235"/>
      <c r="D766" s="236"/>
      <c r="E766" s="237"/>
      <c r="F766" s="238"/>
      <c r="G766" s="235"/>
      <c r="H766" s="235"/>
      <c r="I766" s="205"/>
      <c r="J766" s="205"/>
      <c r="K766" s="205"/>
      <c r="L766" s="205"/>
      <c r="M766" s="239"/>
      <c r="N766" s="235"/>
      <c r="O766" s="240"/>
      <c r="P766" s="238"/>
      <c r="Q766" s="240"/>
      <c r="R766" s="241"/>
      <c r="S766" s="240"/>
      <c r="T766" s="240"/>
      <c r="U766" s="66"/>
    </row>
    <row r="767" spans="2:21" x14ac:dyDescent="0.25">
      <c r="B767" s="66"/>
      <c r="C767" s="235"/>
      <c r="D767" s="236"/>
      <c r="E767" s="237"/>
      <c r="F767" s="238"/>
      <c r="G767" s="235"/>
      <c r="H767" s="235"/>
      <c r="I767" s="205"/>
      <c r="J767" s="205"/>
      <c r="K767" s="205"/>
      <c r="L767" s="205"/>
      <c r="M767" s="239"/>
      <c r="N767" s="235"/>
      <c r="O767" s="240"/>
      <c r="P767" s="238"/>
      <c r="Q767" s="240"/>
      <c r="R767" s="241"/>
      <c r="S767" s="240"/>
      <c r="T767" s="240"/>
      <c r="U767" s="66"/>
    </row>
    <row r="768" spans="2:21" x14ac:dyDescent="0.25">
      <c r="B768" s="66"/>
      <c r="C768" s="235"/>
      <c r="D768" s="236"/>
      <c r="E768" s="237"/>
      <c r="F768" s="238"/>
      <c r="G768" s="235"/>
      <c r="H768" s="235"/>
      <c r="I768" s="205"/>
      <c r="J768" s="205"/>
      <c r="K768" s="205"/>
      <c r="L768" s="205"/>
      <c r="M768" s="239"/>
      <c r="N768" s="235"/>
      <c r="O768" s="240"/>
      <c r="P768" s="238"/>
      <c r="Q768" s="240"/>
      <c r="R768" s="241"/>
      <c r="S768" s="240"/>
      <c r="T768" s="240"/>
      <c r="U768" s="66"/>
    </row>
    <row r="769" spans="2:21" x14ac:dyDescent="0.25">
      <c r="B769" s="66"/>
      <c r="C769" s="235"/>
      <c r="D769" s="236"/>
      <c r="E769" s="237"/>
      <c r="F769" s="238"/>
      <c r="G769" s="235"/>
      <c r="H769" s="235"/>
      <c r="I769" s="205"/>
      <c r="J769" s="205"/>
      <c r="K769" s="205"/>
      <c r="L769" s="205"/>
      <c r="M769" s="239"/>
      <c r="N769" s="235"/>
      <c r="O769" s="240"/>
      <c r="P769" s="238"/>
      <c r="Q769" s="240"/>
      <c r="R769" s="241"/>
      <c r="S769" s="240"/>
      <c r="T769" s="240"/>
      <c r="U769" s="66"/>
    </row>
    <row r="770" spans="2:21" x14ac:dyDescent="0.25">
      <c r="B770" s="66"/>
      <c r="C770" s="235"/>
      <c r="D770" s="236"/>
      <c r="E770" s="237"/>
      <c r="F770" s="238"/>
      <c r="G770" s="235"/>
      <c r="H770" s="235"/>
      <c r="I770" s="205"/>
      <c r="J770" s="205"/>
      <c r="K770" s="205"/>
      <c r="L770" s="205"/>
      <c r="M770" s="239"/>
      <c r="N770" s="235"/>
      <c r="O770" s="240"/>
      <c r="P770" s="238"/>
      <c r="Q770" s="240"/>
      <c r="R770" s="241"/>
      <c r="S770" s="240"/>
      <c r="T770" s="240"/>
      <c r="U770" s="66"/>
    </row>
    <row r="771" spans="2:21" x14ac:dyDescent="0.25">
      <c r="B771" s="66"/>
      <c r="C771" s="235"/>
      <c r="D771" s="236"/>
      <c r="E771" s="237"/>
      <c r="F771" s="238"/>
      <c r="G771" s="235"/>
      <c r="H771" s="235"/>
      <c r="I771" s="205"/>
      <c r="J771" s="205"/>
      <c r="K771" s="205"/>
      <c r="L771" s="205"/>
      <c r="M771" s="239"/>
      <c r="N771" s="235"/>
      <c r="O771" s="240"/>
      <c r="P771" s="238"/>
      <c r="Q771" s="240"/>
      <c r="R771" s="241"/>
      <c r="S771" s="240"/>
      <c r="T771" s="240"/>
      <c r="U771" s="66"/>
    </row>
    <row r="772" spans="2:21" x14ac:dyDescent="0.25">
      <c r="B772" s="66"/>
      <c r="C772" s="235"/>
      <c r="D772" s="236"/>
      <c r="E772" s="237"/>
      <c r="F772" s="238"/>
      <c r="G772" s="235"/>
      <c r="H772" s="235"/>
      <c r="I772" s="205"/>
      <c r="J772" s="205"/>
      <c r="K772" s="205"/>
      <c r="L772" s="205"/>
      <c r="M772" s="239"/>
      <c r="N772" s="235"/>
      <c r="O772" s="240"/>
      <c r="P772" s="238"/>
      <c r="Q772" s="240"/>
      <c r="R772" s="241"/>
      <c r="S772" s="240"/>
      <c r="T772" s="240"/>
      <c r="U772" s="66"/>
    </row>
    <row r="773" spans="2:21" x14ac:dyDescent="0.25">
      <c r="B773" s="66"/>
      <c r="C773" s="235"/>
      <c r="D773" s="236"/>
      <c r="E773" s="237"/>
      <c r="F773" s="238"/>
      <c r="G773" s="235"/>
      <c r="H773" s="235"/>
      <c r="I773" s="205"/>
      <c r="J773" s="205"/>
      <c r="K773" s="205"/>
      <c r="L773" s="205"/>
      <c r="M773" s="239"/>
      <c r="N773" s="235"/>
      <c r="O773" s="240"/>
      <c r="P773" s="238"/>
      <c r="Q773" s="240"/>
      <c r="R773" s="241"/>
      <c r="S773" s="240"/>
      <c r="T773" s="240"/>
      <c r="U773" s="66"/>
    </row>
    <row r="774" spans="2:21" x14ac:dyDescent="0.25">
      <c r="B774" s="66"/>
      <c r="C774" s="235"/>
      <c r="D774" s="236"/>
      <c r="E774" s="237"/>
      <c r="F774" s="238"/>
      <c r="G774" s="235"/>
      <c r="H774" s="235"/>
      <c r="I774" s="205"/>
      <c r="J774" s="205"/>
      <c r="K774" s="205"/>
      <c r="L774" s="205"/>
      <c r="M774" s="239"/>
      <c r="N774" s="235"/>
      <c r="O774" s="240"/>
      <c r="P774" s="238"/>
      <c r="Q774" s="240"/>
      <c r="R774" s="241"/>
      <c r="S774" s="240"/>
      <c r="T774" s="240"/>
      <c r="U774" s="66"/>
    </row>
    <row r="775" spans="2:21" x14ac:dyDescent="0.25">
      <c r="B775" s="66"/>
      <c r="C775" s="235"/>
      <c r="D775" s="236"/>
      <c r="E775" s="237"/>
      <c r="F775" s="238"/>
      <c r="G775" s="235"/>
      <c r="H775" s="235"/>
      <c r="I775" s="205"/>
      <c r="J775" s="205"/>
      <c r="K775" s="205"/>
      <c r="L775" s="205"/>
      <c r="M775" s="239"/>
      <c r="N775" s="235"/>
      <c r="O775" s="240"/>
      <c r="P775" s="238"/>
      <c r="Q775" s="240"/>
      <c r="R775" s="241"/>
      <c r="S775" s="240"/>
      <c r="T775" s="240"/>
      <c r="U775" s="66"/>
    </row>
    <row r="776" spans="2:21" x14ac:dyDescent="0.25">
      <c r="B776" s="66"/>
      <c r="C776" s="235"/>
      <c r="D776" s="236"/>
      <c r="E776" s="237"/>
      <c r="F776" s="238"/>
      <c r="G776" s="235"/>
      <c r="H776" s="235"/>
      <c r="I776" s="205"/>
      <c r="J776" s="205"/>
      <c r="K776" s="205"/>
      <c r="L776" s="205"/>
      <c r="M776" s="239"/>
      <c r="N776" s="235"/>
      <c r="O776" s="240"/>
      <c r="P776" s="238"/>
      <c r="Q776" s="240"/>
      <c r="R776" s="241"/>
      <c r="S776" s="240"/>
      <c r="T776" s="240"/>
      <c r="U776" s="66"/>
    </row>
    <row r="777" spans="2:21" x14ac:dyDescent="0.25">
      <c r="B777" s="66"/>
      <c r="C777" s="235"/>
      <c r="D777" s="236"/>
      <c r="E777" s="237"/>
      <c r="F777" s="238"/>
      <c r="G777" s="235"/>
      <c r="H777" s="235"/>
      <c r="I777" s="205"/>
      <c r="J777" s="205"/>
      <c r="K777" s="205"/>
      <c r="L777" s="205"/>
      <c r="M777" s="239"/>
      <c r="N777" s="235"/>
      <c r="O777" s="240"/>
      <c r="P777" s="238"/>
      <c r="Q777" s="240"/>
      <c r="R777" s="241"/>
      <c r="S777" s="240"/>
      <c r="T777" s="240"/>
      <c r="U777" s="66"/>
    </row>
    <row r="778" spans="2:21" x14ac:dyDescent="0.25">
      <c r="B778" s="66"/>
      <c r="C778" s="235"/>
      <c r="D778" s="236"/>
      <c r="E778" s="237"/>
      <c r="F778" s="238"/>
      <c r="G778" s="235"/>
      <c r="H778" s="235"/>
      <c r="I778" s="205"/>
      <c r="J778" s="205"/>
      <c r="K778" s="205"/>
      <c r="L778" s="205"/>
      <c r="M778" s="239"/>
      <c r="N778" s="235"/>
      <c r="O778" s="240"/>
      <c r="P778" s="238"/>
      <c r="Q778" s="240"/>
      <c r="R778" s="241"/>
      <c r="S778" s="240"/>
      <c r="T778" s="240"/>
      <c r="U778" s="66"/>
    </row>
    <row r="779" spans="2:21" x14ac:dyDescent="0.25">
      <c r="B779" s="66"/>
      <c r="C779" s="235"/>
      <c r="D779" s="236"/>
      <c r="E779" s="237"/>
      <c r="F779" s="238"/>
      <c r="G779" s="235"/>
      <c r="H779" s="235"/>
      <c r="I779" s="205"/>
      <c r="J779" s="205"/>
      <c r="K779" s="205"/>
      <c r="L779" s="205"/>
      <c r="M779" s="239"/>
      <c r="N779" s="235"/>
      <c r="O779" s="240"/>
      <c r="P779" s="238"/>
      <c r="Q779" s="240"/>
      <c r="R779" s="241"/>
      <c r="S779" s="240"/>
      <c r="T779" s="240"/>
      <c r="U779" s="66"/>
    </row>
    <row r="780" spans="2:21" x14ac:dyDescent="0.25">
      <c r="B780" s="66"/>
      <c r="C780" s="235"/>
      <c r="D780" s="236"/>
      <c r="E780" s="237"/>
      <c r="F780" s="238"/>
      <c r="G780" s="235"/>
      <c r="H780" s="235"/>
      <c r="I780" s="205"/>
      <c r="J780" s="205"/>
      <c r="K780" s="205"/>
      <c r="L780" s="205"/>
      <c r="M780" s="239"/>
      <c r="N780" s="235"/>
      <c r="O780" s="240"/>
      <c r="P780" s="238"/>
      <c r="Q780" s="240"/>
      <c r="R780" s="241"/>
      <c r="S780" s="240"/>
      <c r="T780" s="240"/>
      <c r="U780" s="66"/>
    </row>
    <row r="781" spans="2:21" x14ac:dyDescent="0.25">
      <c r="B781" s="66"/>
      <c r="C781" s="235"/>
      <c r="D781" s="236"/>
      <c r="E781" s="237"/>
      <c r="F781" s="238"/>
      <c r="G781" s="235"/>
      <c r="H781" s="235"/>
      <c r="I781" s="205"/>
      <c r="J781" s="205"/>
      <c r="K781" s="205"/>
      <c r="L781" s="205"/>
      <c r="M781" s="239"/>
      <c r="N781" s="235"/>
      <c r="O781" s="240"/>
      <c r="P781" s="238"/>
      <c r="Q781" s="240"/>
      <c r="R781" s="241"/>
      <c r="S781" s="240"/>
      <c r="T781" s="240"/>
      <c r="U781" s="66"/>
    </row>
    <row r="782" spans="2:21" x14ac:dyDescent="0.25">
      <c r="B782" s="66"/>
      <c r="C782" s="235"/>
      <c r="D782" s="236"/>
      <c r="E782" s="237"/>
      <c r="F782" s="238"/>
      <c r="G782" s="235"/>
      <c r="H782" s="235"/>
      <c r="I782" s="205"/>
      <c r="J782" s="205"/>
      <c r="K782" s="205"/>
      <c r="L782" s="205"/>
      <c r="M782" s="239"/>
      <c r="N782" s="235"/>
      <c r="O782" s="240"/>
      <c r="P782" s="238"/>
      <c r="Q782" s="240"/>
      <c r="R782" s="241"/>
      <c r="S782" s="240"/>
      <c r="T782" s="240"/>
      <c r="U782" s="66"/>
    </row>
    <row r="783" spans="2:21" x14ac:dyDescent="0.25">
      <c r="B783" s="66"/>
      <c r="C783" s="235"/>
      <c r="D783" s="236"/>
      <c r="E783" s="237"/>
      <c r="F783" s="238"/>
      <c r="G783" s="235"/>
      <c r="H783" s="235"/>
      <c r="I783" s="205"/>
      <c r="J783" s="205"/>
      <c r="K783" s="205"/>
      <c r="L783" s="205"/>
      <c r="M783" s="239"/>
      <c r="N783" s="235"/>
      <c r="O783" s="240"/>
      <c r="P783" s="238"/>
      <c r="Q783" s="240"/>
      <c r="R783" s="241"/>
      <c r="S783" s="240"/>
      <c r="T783" s="240"/>
      <c r="U783" s="66"/>
    </row>
    <row r="784" spans="2:21" x14ac:dyDescent="0.25">
      <c r="B784" s="66"/>
      <c r="C784" s="235"/>
      <c r="D784" s="236"/>
      <c r="E784" s="237"/>
      <c r="F784" s="238"/>
      <c r="G784" s="235"/>
      <c r="H784" s="235"/>
      <c r="I784" s="205"/>
      <c r="J784" s="205"/>
      <c r="K784" s="205"/>
      <c r="L784" s="205"/>
      <c r="M784" s="239"/>
      <c r="N784" s="235"/>
      <c r="O784" s="240"/>
      <c r="P784" s="238"/>
      <c r="Q784" s="240"/>
      <c r="R784" s="241"/>
      <c r="S784" s="240"/>
      <c r="T784" s="240"/>
      <c r="U784" s="66"/>
    </row>
    <row r="785" spans="2:21" x14ac:dyDescent="0.25">
      <c r="B785" s="66"/>
      <c r="C785" s="235"/>
      <c r="D785" s="236"/>
      <c r="E785" s="237"/>
      <c r="F785" s="238"/>
      <c r="G785" s="235"/>
      <c r="H785" s="235"/>
      <c r="I785" s="205"/>
      <c r="J785" s="205"/>
      <c r="K785" s="205"/>
      <c r="L785" s="205"/>
      <c r="M785" s="239"/>
      <c r="N785" s="235"/>
      <c r="O785" s="240"/>
      <c r="P785" s="238"/>
      <c r="Q785" s="240"/>
      <c r="R785" s="241"/>
      <c r="S785" s="240"/>
      <c r="T785" s="240"/>
      <c r="U785" s="66"/>
    </row>
    <row r="786" spans="2:21" x14ac:dyDescent="0.25">
      <c r="B786" s="66"/>
      <c r="C786" s="235"/>
      <c r="D786" s="236"/>
      <c r="E786" s="237"/>
      <c r="F786" s="238"/>
      <c r="G786" s="235"/>
      <c r="H786" s="235"/>
      <c r="I786" s="205"/>
      <c r="J786" s="205"/>
      <c r="K786" s="205"/>
      <c r="L786" s="205"/>
      <c r="M786" s="239"/>
      <c r="N786" s="235"/>
      <c r="O786" s="240"/>
      <c r="P786" s="238"/>
      <c r="Q786" s="240"/>
      <c r="R786" s="241"/>
      <c r="S786" s="240"/>
      <c r="T786" s="240"/>
      <c r="U786" s="66"/>
    </row>
    <row r="787" spans="2:21" x14ac:dyDescent="0.25">
      <c r="B787" s="66"/>
      <c r="C787" s="235"/>
      <c r="D787" s="236"/>
      <c r="E787" s="237"/>
      <c r="F787" s="238"/>
      <c r="G787" s="235"/>
      <c r="H787" s="235"/>
      <c r="I787" s="205"/>
      <c r="J787" s="205"/>
      <c r="K787" s="205"/>
      <c r="L787" s="205"/>
      <c r="M787" s="239"/>
      <c r="N787" s="235"/>
      <c r="O787" s="240"/>
      <c r="P787" s="238"/>
      <c r="Q787" s="240"/>
      <c r="R787" s="241"/>
      <c r="S787" s="240"/>
      <c r="T787" s="240"/>
      <c r="U787" s="66"/>
    </row>
    <row r="788" spans="2:21" x14ac:dyDescent="0.25">
      <c r="B788" s="66"/>
      <c r="C788" s="235"/>
      <c r="D788" s="236"/>
      <c r="E788" s="237"/>
      <c r="F788" s="238"/>
      <c r="G788" s="235"/>
      <c r="H788" s="235"/>
      <c r="I788" s="205"/>
      <c r="J788" s="205"/>
      <c r="K788" s="205"/>
      <c r="L788" s="205"/>
      <c r="M788" s="239"/>
      <c r="N788" s="235"/>
      <c r="O788" s="240"/>
      <c r="P788" s="238"/>
      <c r="Q788" s="240"/>
      <c r="R788" s="241"/>
      <c r="S788" s="240"/>
      <c r="T788" s="240"/>
      <c r="U788" s="66"/>
    </row>
    <row r="789" spans="2:21" x14ac:dyDescent="0.25">
      <c r="B789" s="66"/>
      <c r="C789" s="235"/>
      <c r="D789" s="236"/>
      <c r="E789" s="237"/>
      <c r="F789" s="238"/>
      <c r="G789" s="235"/>
      <c r="H789" s="235"/>
      <c r="I789" s="205"/>
      <c r="J789" s="205"/>
      <c r="K789" s="205"/>
      <c r="L789" s="205"/>
      <c r="M789" s="239"/>
      <c r="N789" s="235"/>
      <c r="O789" s="240"/>
      <c r="P789" s="238"/>
      <c r="Q789" s="240"/>
      <c r="R789" s="241"/>
      <c r="S789" s="240"/>
      <c r="T789" s="240"/>
      <c r="U789" s="66"/>
    </row>
    <row r="790" spans="2:21" x14ac:dyDescent="0.25">
      <c r="B790" s="66"/>
      <c r="C790" s="235"/>
      <c r="D790" s="236"/>
      <c r="E790" s="237"/>
      <c r="F790" s="238"/>
      <c r="G790" s="235"/>
      <c r="H790" s="235"/>
      <c r="I790" s="205"/>
      <c r="J790" s="205"/>
      <c r="K790" s="205"/>
      <c r="L790" s="205"/>
      <c r="M790" s="239"/>
      <c r="N790" s="235"/>
      <c r="O790" s="240"/>
      <c r="P790" s="238"/>
      <c r="Q790" s="240"/>
      <c r="R790" s="241"/>
      <c r="S790" s="240"/>
      <c r="T790" s="240"/>
      <c r="U790" s="66"/>
    </row>
    <row r="791" spans="2:21" x14ac:dyDescent="0.25">
      <c r="B791" s="66"/>
      <c r="C791" s="235"/>
      <c r="D791" s="236"/>
      <c r="E791" s="237"/>
      <c r="F791" s="238"/>
      <c r="G791" s="235"/>
      <c r="H791" s="235"/>
      <c r="I791" s="205"/>
      <c r="J791" s="205"/>
      <c r="K791" s="205"/>
      <c r="L791" s="205"/>
      <c r="M791" s="239"/>
      <c r="N791" s="235"/>
      <c r="O791" s="240"/>
      <c r="P791" s="238"/>
      <c r="Q791" s="240"/>
      <c r="R791" s="241"/>
      <c r="S791" s="240"/>
      <c r="T791" s="240"/>
      <c r="U791" s="66"/>
    </row>
    <row r="792" spans="2:21" x14ac:dyDescent="0.25">
      <c r="B792" s="66"/>
      <c r="C792" s="235"/>
      <c r="D792" s="236"/>
      <c r="E792" s="237"/>
      <c r="F792" s="238"/>
      <c r="G792" s="235"/>
      <c r="H792" s="235"/>
      <c r="I792" s="205"/>
      <c r="J792" s="205"/>
      <c r="K792" s="205"/>
      <c r="L792" s="205"/>
      <c r="M792" s="239"/>
      <c r="N792" s="235"/>
      <c r="O792" s="240"/>
      <c r="P792" s="238"/>
      <c r="Q792" s="240"/>
      <c r="R792" s="241"/>
      <c r="S792" s="240"/>
      <c r="T792" s="240"/>
      <c r="U792" s="66"/>
    </row>
    <row r="793" spans="2:21" x14ac:dyDescent="0.25">
      <c r="B793" s="66"/>
      <c r="C793" s="235"/>
      <c r="D793" s="236"/>
      <c r="E793" s="237"/>
      <c r="F793" s="238"/>
      <c r="G793" s="235"/>
      <c r="H793" s="235"/>
      <c r="I793" s="205"/>
      <c r="J793" s="205"/>
      <c r="K793" s="205"/>
      <c r="L793" s="205"/>
      <c r="M793" s="239"/>
      <c r="N793" s="235"/>
      <c r="O793" s="240"/>
      <c r="P793" s="238"/>
      <c r="Q793" s="240"/>
      <c r="R793" s="241"/>
      <c r="S793" s="240"/>
      <c r="T793" s="240"/>
      <c r="U793" s="66"/>
    </row>
    <row r="794" spans="2:21" x14ac:dyDescent="0.25">
      <c r="B794" s="66"/>
      <c r="C794" s="235"/>
      <c r="D794" s="236"/>
      <c r="E794" s="237"/>
      <c r="F794" s="238"/>
      <c r="G794" s="235"/>
      <c r="H794" s="235"/>
      <c r="I794" s="205"/>
      <c r="J794" s="205"/>
      <c r="K794" s="205"/>
      <c r="L794" s="205"/>
      <c r="M794" s="239"/>
      <c r="N794" s="235"/>
      <c r="O794" s="240"/>
      <c r="P794" s="238"/>
      <c r="Q794" s="240"/>
      <c r="R794" s="241"/>
      <c r="S794" s="240"/>
      <c r="T794" s="240"/>
      <c r="U794" s="66"/>
    </row>
    <row r="795" spans="2:21" x14ac:dyDescent="0.25">
      <c r="B795" s="66"/>
      <c r="C795" s="235"/>
      <c r="D795" s="236"/>
      <c r="E795" s="237"/>
      <c r="F795" s="238"/>
      <c r="G795" s="235"/>
      <c r="H795" s="235"/>
      <c r="I795" s="205"/>
      <c r="J795" s="205"/>
      <c r="K795" s="205"/>
      <c r="L795" s="205"/>
      <c r="M795" s="239"/>
      <c r="N795" s="235"/>
      <c r="O795" s="240"/>
      <c r="P795" s="238"/>
      <c r="Q795" s="240"/>
      <c r="R795" s="241"/>
      <c r="S795" s="240"/>
      <c r="T795" s="240"/>
      <c r="U795" s="66"/>
    </row>
    <row r="796" spans="2:21" x14ac:dyDescent="0.25">
      <c r="B796" s="66"/>
      <c r="C796" s="235"/>
      <c r="D796" s="236"/>
      <c r="E796" s="237"/>
      <c r="F796" s="238"/>
      <c r="G796" s="235"/>
      <c r="H796" s="235"/>
      <c r="I796" s="205"/>
      <c r="J796" s="205"/>
      <c r="K796" s="205"/>
      <c r="L796" s="205"/>
      <c r="M796" s="239"/>
      <c r="N796" s="235"/>
      <c r="O796" s="240"/>
      <c r="P796" s="238"/>
      <c r="Q796" s="240"/>
      <c r="R796" s="241"/>
      <c r="S796" s="240"/>
      <c r="T796" s="240"/>
      <c r="U796" s="66"/>
    </row>
    <row r="797" spans="2:21" x14ac:dyDescent="0.25">
      <c r="B797" s="66"/>
      <c r="C797" s="235"/>
      <c r="D797" s="236"/>
      <c r="E797" s="237"/>
      <c r="F797" s="238"/>
      <c r="G797" s="235"/>
      <c r="H797" s="235"/>
      <c r="I797" s="205"/>
      <c r="J797" s="205"/>
      <c r="K797" s="205"/>
      <c r="L797" s="205"/>
      <c r="M797" s="239"/>
      <c r="N797" s="235"/>
      <c r="O797" s="240"/>
      <c r="P797" s="238"/>
      <c r="Q797" s="240"/>
      <c r="R797" s="241"/>
      <c r="S797" s="240"/>
      <c r="T797" s="240"/>
      <c r="U797" s="66"/>
    </row>
    <row r="798" spans="2:21" x14ac:dyDescent="0.25">
      <c r="B798" s="66"/>
      <c r="C798" s="235"/>
      <c r="D798" s="236"/>
      <c r="E798" s="237"/>
      <c r="F798" s="238"/>
      <c r="G798" s="235"/>
      <c r="H798" s="235"/>
      <c r="I798" s="205"/>
      <c r="J798" s="205"/>
      <c r="K798" s="205"/>
      <c r="L798" s="205"/>
      <c r="M798" s="239"/>
      <c r="N798" s="235"/>
      <c r="O798" s="240"/>
      <c r="P798" s="238"/>
      <c r="Q798" s="240"/>
      <c r="R798" s="241"/>
      <c r="S798" s="240"/>
      <c r="T798" s="240"/>
      <c r="U798" s="66"/>
    </row>
    <row r="799" spans="2:21" x14ac:dyDescent="0.25">
      <c r="B799" s="66"/>
      <c r="C799" s="235"/>
      <c r="D799" s="236"/>
      <c r="E799" s="237"/>
      <c r="F799" s="238"/>
      <c r="G799" s="235"/>
      <c r="H799" s="235"/>
      <c r="I799" s="205"/>
      <c r="J799" s="205"/>
      <c r="K799" s="205"/>
      <c r="L799" s="205"/>
      <c r="M799" s="239"/>
      <c r="N799" s="235"/>
      <c r="O799" s="240"/>
      <c r="P799" s="238"/>
      <c r="Q799" s="240"/>
      <c r="R799" s="241"/>
      <c r="S799" s="240"/>
      <c r="T799" s="240"/>
      <c r="U799" s="66"/>
    </row>
    <row r="800" spans="2:21" x14ac:dyDescent="0.25">
      <c r="B800" s="66"/>
      <c r="C800" s="235"/>
      <c r="D800" s="236"/>
      <c r="E800" s="237"/>
      <c r="F800" s="238"/>
      <c r="G800" s="235"/>
      <c r="H800" s="235"/>
      <c r="I800" s="205"/>
      <c r="J800" s="205"/>
      <c r="K800" s="205"/>
      <c r="L800" s="205"/>
      <c r="M800" s="239"/>
      <c r="N800" s="235"/>
      <c r="O800" s="240"/>
      <c r="P800" s="238"/>
      <c r="Q800" s="240"/>
      <c r="R800" s="241"/>
      <c r="S800" s="240"/>
      <c r="T800" s="240"/>
      <c r="U800" s="66"/>
    </row>
    <row r="801" spans="2:21" x14ac:dyDescent="0.25">
      <c r="B801" s="66"/>
      <c r="C801" s="235"/>
      <c r="D801" s="236"/>
      <c r="E801" s="237"/>
      <c r="F801" s="238"/>
      <c r="G801" s="235"/>
      <c r="H801" s="235"/>
      <c r="I801" s="205"/>
      <c r="J801" s="205"/>
      <c r="K801" s="205"/>
      <c r="L801" s="205"/>
      <c r="M801" s="239"/>
      <c r="N801" s="235"/>
      <c r="O801" s="240"/>
      <c r="P801" s="238"/>
      <c r="Q801" s="240"/>
      <c r="R801" s="241"/>
      <c r="S801" s="240"/>
      <c r="T801" s="240"/>
      <c r="U801" s="66"/>
    </row>
    <row r="802" spans="2:21" x14ac:dyDescent="0.25">
      <c r="B802" s="66"/>
      <c r="C802" s="235"/>
      <c r="D802" s="236"/>
      <c r="E802" s="237"/>
      <c r="F802" s="238"/>
      <c r="G802" s="235"/>
      <c r="H802" s="235"/>
      <c r="I802" s="205"/>
      <c r="J802" s="205"/>
      <c r="K802" s="205"/>
      <c r="L802" s="205"/>
      <c r="M802" s="239"/>
      <c r="N802" s="235"/>
      <c r="O802" s="240"/>
      <c r="P802" s="238"/>
      <c r="Q802" s="240"/>
      <c r="R802" s="241"/>
      <c r="S802" s="240"/>
      <c r="T802" s="240"/>
      <c r="U802" s="66"/>
    </row>
    <row r="803" spans="2:21" x14ac:dyDescent="0.25">
      <c r="B803" s="66"/>
      <c r="C803" s="235"/>
      <c r="D803" s="236"/>
      <c r="E803" s="237"/>
      <c r="F803" s="238"/>
      <c r="G803" s="235"/>
      <c r="H803" s="235"/>
      <c r="I803" s="205"/>
      <c r="J803" s="205"/>
      <c r="K803" s="205"/>
      <c r="L803" s="205"/>
      <c r="M803" s="239"/>
      <c r="N803" s="235"/>
      <c r="O803" s="240"/>
      <c r="P803" s="238"/>
      <c r="Q803" s="240"/>
      <c r="R803" s="241"/>
      <c r="S803" s="240"/>
      <c r="T803" s="240"/>
      <c r="U803" s="66"/>
    </row>
    <row r="804" spans="2:21" x14ac:dyDescent="0.25">
      <c r="B804" s="66"/>
      <c r="C804" s="235"/>
      <c r="D804" s="236"/>
      <c r="E804" s="237"/>
      <c r="F804" s="238"/>
      <c r="G804" s="235"/>
      <c r="H804" s="235"/>
      <c r="I804" s="205"/>
      <c r="J804" s="205"/>
      <c r="K804" s="205"/>
      <c r="L804" s="205"/>
      <c r="M804" s="239"/>
      <c r="N804" s="235"/>
      <c r="O804" s="240"/>
      <c r="P804" s="238"/>
      <c r="Q804" s="240"/>
      <c r="R804" s="241"/>
      <c r="S804" s="240"/>
      <c r="T804" s="240"/>
      <c r="U804" s="66"/>
    </row>
    <row r="805" spans="2:21" x14ac:dyDescent="0.25">
      <c r="B805" s="66"/>
      <c r="C805" s="235"/>
      <c r="D805" s="236"/>
      <c r="E805" s="237"/>
      <c r="F805" s="238"/>
      <c r="G805" s="235"/>
      <c r="H805" s="235"/>
      <c r="I805" s="205"/>
      <c r="J805" s="205"/>
      <c r="K805" s="205"/>
      <c r="L805" s="205"/>
      <c r="M805" s="239"/>
      <c r="N805" s="235"/>
      <c r="O805" s="240"/>
      <c r="P805" s="238"/>
      <c r="Q805" s="240"/>
      <c r="R805" s="241"/>
      <c r="S805" s="240"/>
      <c r="T805" s="240"/>
      <c r="U805" s="66"/>
    </row>
    <row r="806" spans="2:21" x14ac:dyDescent="0.25">
      <c r="B806" s="66"/>
      <c r="C806" s="235"/>
      <c r="D806" s="236"/>
      <c r="E806" s="237"/>
      <c r="F806" s="238"/>
      <c r="G806" s="235"/>
      <c r="H806" s="235"/>
      <c r="I806" s="205"/>
      <c r="J806" s="205"/>
      <c r="K806" s="205"/>
      <c r="L806" s="205"/>
      <c r="M806" s="239"/>
      <c r="N806" s="235"/>
      <c r="O806" s="240"/>
      <c r="P806" s="238"/>
      <c r="Q806" s="240"/>
      <c r="R806" s="241"/>
      <c r="S806" s="240"/>
      <c r="T806" s="240"/>
      <c r="U806" s="66"/>
    </row>
    <row r="807" spans="2:21" x14ac:dyDescent="0.25">
      <c r="B807" s="66"/>
      <c r="C807" s="235"/>
      <c r="D807" s="236"/>
      <c r="E807" s="237"/>
      <c r="F807" s="238"/>
      <c r="G807" s="235"/>
      <c r="H807" s="235"/>
      <c r="I807" s="205"/>
      <c r="J807" s="205"/>
      <c r="K807" s="205"/>
      <c r="L807" s="205"/>
      <c r="M807" s="239"/>
      <c r="N807" s="235"/>
      <c r="O807" s="240"/>
      <c r="P807" s="238"/>
      <c r="Q807" s="240"/>
      <c r="R807" s="241"/>
      <c r="S807" s="240"/>
      <c r="T807" s="240"/>
      <c r="U807" s="66"/>
    </row>
    <row r="808" spans="2:21" x14ac:dyDescent="0.25">
      <c r="B808" s="66"/>
      <c r="C808" s="235"/>
      <c r="D808" s="236"/>
      <c r="E808" s="237"/>
      <c r="F808" s="238"/>
      <c r="G808" s="235"/>
      <c r="H808" s="235"/>
      <c r="I808" s="205"/>
      <c r="J808" s="205"/>
      <c r="K808" s="205"/>
      <c r="L808" s="205"/>
      <c r="M808" s="239"/>
      <c r="N808" s="235"/>
      <c r="O808" s="240"/>
      <c r="P808" s="238"/>
      <c r="Q808" s="240"/>
      <c r="R808" s="241"/>
      <c r="S808" s="240"/>
      <c r="T808" s="240"/>
      <c r="U808" s="66"/>
    </row>
    <row r="809" spans="2:21" x14ac:dyDescent="0.25">
      <c r="B809" s="66"/>
      <c r="C809" s="235"/>
      <c r="D809" s="236"/>
      <c r="E809" s="237"/>
      <c r="F809" s="238"/>
      <c r="G809" s="235"/>
      <c r="H809" s="235"/>
      <c r="I809" s="205"/>
      <c r="J809" s="205"/>
      <c r="K809" s="205"/>
      <c r="L809" s="205"/>
      <c r="M809" s="239"/>
      <c r="N809" s="235"/>
      <c r="O809" s="240"/>
      <c r="P809" s="238"/>
      <c r="Q809" s="240"/>
      <c r="R809" s="241"/>
      <c r="S809" s="240"/>
      <c r="T809" s="240"/>
      <c r="U809" s="66"/>
    </row>
    <row r="810" spans="2:21" x14ac:dyDescent="0.25">
      <c r="B810" s="66"/>
      <c r="C810" s="235"/>
      <c r="D810" s="236"/>
      <c r="E810" s="237"/>
      <c r="F810" s="238"/>
      <c r="G810" s="235"/>
      <c r="H810" s="235"/>
      <c r="I810" s="205"/>
      <c r="J810" s="205"/>
      <c r="K810" s="205"/>
      <c r="L810" s="205"/>
      <c r="M810" s="239"/>
      <c r="N810" s="235"/>
      <c r="O810" s="240"/>
      <c r="P810" s="238"/>
      <c r="Q810" s="240"/>
      <c r="R810" s="241"/>
      <c r="S810" s="240"/>
      <c r="T810" s="240"/>
      <c r="U810" s="66"/>
    </row>
    <row r="811" spans="2:21" x14ac:dyDescent="0.25">
      <c r="B811" s="66"/>
      <c r="C811" s="235"/>
      <c r="D811" s="236"/>
      <c r="E811" s="237"/>
      <c r="F811" s="238"/>
      <c r="G811" s="235"/>
      <c r="H811" s="235"/>
      <c r="I811" s="205"/>
      <c r="J811" s="205"/>
      <c r="K811" s="205"/>
      <c r="L811" s="205"/>
      <c r="M811" s="239"/>
      <c r="N811" s="235"/>
      <c r="O811" s="240"/>
      <c r="P811" s="238"/>
      <c r="Q811" s="240"/>
      <c r="R811" s="241"/>
      <c r="S811" s="240"/>
      <c r="T811" s="240"/>
      <c r="U811" s="66"/>
    </row>
    <row r="812" spans="2:21" x14ac:dyDescent="0.25">
      <c r="B812" s="66"/>
      <c r="C812" s="235"/>
      <c r="D812" s="236"/>
      <c r="E812" s="237"/>
      <c r="F812" s="238"/>
      <c r="G812" s="235"/>
      <c r="H812" s="235"/>
      <c r="I812" s="205"/>
      <c r="J812" s="205"/>
      <c r="K812" s="205"/>
      <c r="L812" s="205"/>
      <c r="M812" s="239"/>
      <c r="N812" s="235"/>
      <c r="O812" s="240"/>
      <c r="P812" s="238"/>
      <c r="Q812" s="240"/>
      <c r="R812" s="241"/>
      <c r="S812" s="240"/>
      <c r="T812" s="240"/>
      <c r="U812" s="66"/>
    </row>
    <row r="813" spans="2:21" x14ac:dyDescent="0.25">
      <c r="B813" s="66"/>
      <c r="C813" s="235"/>
      <c r="D813" s="236"/>
      <c r="E813" s="237"/>
      <c r="F813" s="238"/>
      <c r="G813" s="235"/>
      <c r="H813" s="235"/>
      <c r="I813" s="205"/>
      <c r="J813" s="205"/>
      <c r="K813" s="205"/>
      <c r="L813" s="205"/>
      <c r="M813" s="239"/>
      <c r="N813" s="235"/>
      <c r="O813" s="240"/>
      <c r="P813" s="238"/>
      <c r="Q813" s="240"/>
      <c r="R813" s="241"/>
      <c r="S813" s="240"/>
      <c r="T813" s="240"/>
      <c r="U813" s="66"/>
    </row>
    <row r="814" spans="2:21" x14ac:dyDescent="0.25">
      <c r="B814" s="66"/>
      <c r="C814" s="235"/>
      <c r="D814" s="236"/>
      <c r="E814" s="237"/>
      <c r="F814" s="238"/>
      <c r="G814" s="235"/>
      <c r="H814" s="235"/>
      <c r="I814" s="205"/>
      <c r="J814" s="205"/>
      <c r="K814" s="205"/>
      <c r="L814" s="205"/>
      <c r="M814" s="239"/>
      <c r="N814" s="235"/>
      <c r="O814" s="240"/>
      <c r="P814" s="238"/>
      <c r="Q814" s="240"/>
      <c r="R814" s="241"/>
      <c r="S814" s="240"/>
      <c r="T814" s="240"/>
      <c r="U814" s="66"/>
    </row>
    <row r="815" spans="2:21" x14ac:dyDescent="0.25">
      <c r="B815" s="66"/>
      <c r="C815" s="235"/>
      <c r="D815" s="236"/>
      <c r="E815" s="237"/>
      <c r="F815" s="238"/>
      <c r="G815" s="235"/>
      <c r="H815" s="235"/>
      <c r="I815" s="205"/>
      <c r="J815" s="205"/>
      <c r="K815" s="205"/>
      <c r="L815" s="205"/>
      <c r="M815" s="239"/>
      <c r="N815" s="235"/>
      <c r="O815" s="240"/>
      <c r="P815" s="238"/>
      <c r="Q815" s="240"/>
      <c r="R815" s="241"/>
      <c r="S815" s="240"/>
      <c r="T815" s="240"/>
      <c r="U815" s="66"/>
    </row>
    <row r="816" spans="2:21" x14ac:dyDescent="0.25">
      <c r="B816" s="66"/>
      <c r="C816" s="235"/>
      <c r="D816" s="236"/>
      <c r="E816" s="237"/>
      <c r="F816" s="238"/>
      <c r="G816" s="235"/>
      <c r="H816" s="235"/>
      <c r="I816" s="205"/>
      <c r="J816" s="205"/>
      <c r="K816" s="205"/>
      <c r="L816" s="205"/>
      <c r="M816" s="239"/>
      <c r="N816" s="235"/>
      <c r="O816" s="240"/>
      <c r="P816" s="238"/>
      <c r="Q816" s="240"/>
      <c r="R816" s="241"/>
      <c r="S816" s="240"/>
      <c r="T816" s="240"/>
      <c r="U816" s="66"/>
    </row>
    <row r="817" spans="2:21" x14ac:dyDescent="0.25">
      <c r="B817" s="66"/>
      <c r="C817" s="235"/>
      <c r="D817" s="236"/>
      <c r="E817" s="237"/>
      <c r="F817" s="238"/>
      <c r="G817" s="235"/>
      <c r="H817" s="235"/>
      <c r="I817" s="205"/>
      <c r="J817" s="205"/>
      <c r="K817" s="205"/>
      <c r="L817" s="205"/>
      <c r="M817" s="239"/>
      <c r="N817" s="235"/>
      <c r="O817" s="240"/>
      <c r="P817" s="238"/>
      <c r="Q817" s="240"/>
      <c r="R817" s="241"/>
      <c r="S817" s="240"/>
      <c r="T817" s="240"/>
      <c r="U817" s="66"/>
    </row>
    <row r="818" spans="2:21" x14ac:dyDescent="0.25">
      <c r="B818" s="66"/>
      <c r="C818" s="235"/>
      <c r="D818" s="236"/>
      <c r="E818" s="237"/>
      <c r="F818" s="238"/>
      <c r="G818" s="235"/>
      <c r="H818" s="235"/>
      <c r="I818" s="205"/>
      <c r="J818" s="205"/>
      <c r="K818" s="205"/>
      <c r="L818" s="205"/>
      <c r="M818" s="239"/>
      <c r="N818" s="235"/>
      <c r="O818" s="240"/>
      <c r="P818" s="238"/>
      <c r="Q818" s="240"/>
      <c r="R818" s="241"/>
      <c r="S818" s="240"/>
      <c r="T818" s="240"/>
      <c r="U818" s="66"/>
    </row>
    <row r="819" spans="2:21" x14ac:dyDescent="0.25">
      <c r="B819" s="66"/>
      <c r="C819" s="235"/>
      <c r="D819" s="236"/>
      <c r="E819" s="237"/>
      <c r="F819" s="238"/>
      <c r="G819" s="235"/>
      <c r="H819" s="235"/>
      <c r="I819" s="205"/>
      <c r="J819" s="205"/>
      <c r="K819" s="205"/>
      <c r="L819" s="205"/>
      <c r="M819" s="239"/>
      <c r="N819" s="235"/>
      <c r="O819" s="240"/>
      <c r="P819" s="238"/>
      <c r="Q819" s="240"/>
      <c r="R819" s="241"/>
      <c r="S819" s="240"/>
      <c r="T819" s="240"/>
      <c r="U819" s="66"/>
    </row>
    <row r="820" spans="2:21" x14ac:dyDescent="0.25">
      <c r="B820" s="66"/>
      <c r="C820" s="235"/>
      <c r="D820" s="236"/>
      <c r="E820" s="237"/>
      <c r="F820" s="238"/>
      <c r="G820" s="235"/>
      <c r="H820" s="235"/>
      <c r="I820" s="205"/>
      <c r="J820" s="205"/>
      <c r="K820" s="205"/>
      <c r="L820" s="205"/>
      <c r="M820" s="239"/>
      <c r="N820" s="235"/>
      <c r="O820" s="240"/>
      <c r="P820" s="238"/>
      <c r="Q820" s="240"/>
      <c r="R820" s="241"/>
      <c r="S820" s="240"/>
      <c r="T820" s="240"/>
      <c r="U820" s="66"/>
    </row>
    <row r="821" spans="2:21" x14ac:dyDescent="0.25">
      <c r="B821" s="66"/>
      <c r="C821" s="235"/>
      <c r="D821" s="236"/>
      <c r="E821" s="237"/>
      <c r="F821" s="238"/>
      <c r="G821" s="235"/>
      <c r="H821" s="235"/>
      <c r="I821" s="205"/>
      <c r="J821" s="205"/>
      <c r="K821" s="205"/>
      <c r="L821" s="205"/>
      <c r="M821" s="239"/>
      <c r="N821" s="235"/>
      <c r="O821" s="240"/>
      <c r="P821" s="238"/>
      <c r="Q821" s="240"/>
      <c r="R821" s="241"/>
      <c r="S821" s="240"/>
      <c r="T821" s="240"/>
      <c r="U821" s="66"/>
    </row>
    <row r="822" spans="2:21" x14ac:dyDescent="0.25">
      <c r="B822" s="66"/>
      <c r="C822" s="235"/>
      <c r="D822" s="236"/>
      <c r="E822" s="237"/>
      <c r="F822" s="238"/>
      <c r="G822" s="235"/>
      <c r="H822" s="235"/>
      <c r="I822" s="205"/>
      <c r="J822" s="205"/>
      <c r="K822" s="205"/>
      <c r="L822" s="205"/>
      <c r="M822" s="239"/>
      <c r="N822" s="235"/>
      <c r="O822" s="240"/>
      <c r="P822" s="238"/>
      <c r="Q822" s="240"/>
      <c r="R822" s="241"/>
      <c r="S822" s="240"/>
      <c r="T822" s="240"/>
      <c r="U822" s="66"/>
    </row>
    <row r="823" spans="2:21" x14ac:dyDescent="0.25">
      <c r="B823" s="66"/>
      <c r="C823" s="235"/>
      <c r="D823" s="236"/>
      <c r="E823" s="237"/>
      <c r="F823" s="238"/>
      <c r="G823" s="235"/>
      <c r="H823" s="235"/>
      <c r="I823" s="205"/>
      <c r="J823" s="205"/>
      <c r="K823" s="205"/>
      <c r="L823" s="205"/>
      <c r="M823" s="239"/>
      <c r="N823" s="235"/>
      <c r="O823" s="240"/>
      <c r="P823" s="238"/>
      <c r="Q823" s="240"/>
      <c r="R823" s="241"/>
      <c r="S823" s="240"/>
      <c r="T823" s="240"/>
      <c r="U823" s="66"/>
    </row>
    <row r="824" spans="2:21" x14ac:dyDescent="0.25">
      <c r="B824" s="66"/>
      <c r="C824" s="235"/>
      <c r="D824" s="236"/>
      <c r="E824" s="237"/>
      <c r="F824" s="238"/>
      <c r="G824" s="235"/>
      <c r="H824" s="235"/>
      <c r="I824" s="205"/>
      <c r="J824" s="205"/>
      <c r="K824" s="205"/>
      <c r="L824" s="205"/>
      <c r="M824" s="239"/>
      <c r="N824" s="235"/>
      <c r="O824" s="240"/>
      <c r="P824" s="238"/>
      <c r="Q824" s="240"/>
      <c r="R824" s="241"/>
      <c r="S824" s="240"/>
      <c r="T824" s="240"/>
      <c r="U824" s="66"/>
    </row>
    <row r="825" spans="2:21" x14ac:dyDescent="0.25">
      <c r="B825" s="66"/>
      <c r="C825" s="235"/>
      <c r="D825" s="236"/>
      <c r="E825" s="237"/>
      <c r="F825" s="238"/>
      <c r="G825" s="235"/>
      <c r="H825" s="235"/>
      <c r="I825" s="205"/>
      <c r="J825" s="205"/>
      <c r="K825" s="205"/>
      <c r="L825" s="205"/>
      <c r="M825" s="239"/>
      <c r="N825" s="235"/>
      <c r="O825" s="240"/>
      <c r="P825" s="238"/>
      <c r="Q825" s="240"/>
      <c r="R825" s="241"/>
      <c r="S825" s="240"/>
      <c r="T825" s="240"/>
      <c r="U825" s="66"/>
    </row>
    <row r="826" spans="2:21" x14ac:dyDescent="0.25">
      <c r="B826" s="66"/>
      <c r="C826" s="235"/>
      <c r="D826" s="236"/>
      <c r="E826" s="237"/>
      <c r="F826" s="238"/>
      <c r="G826" s="235"/>
      <c r="H826" s="235"/>
      <c r="I826" s="205"/>
      <c r="J826" s="205"/>
      <c r="K826" s="205"/>
      <c r="L826" s="205"/>
      <c r="M826" s="239"/>
      <c r="N826" s="235"/>
      <c r="O826" s="240"/>
      <c r="P826" s="238"/>
      <c r="Q826" s="240"/>
      <c r="R826" s="241"/>
      <c r="S826" s="240"/>
      <c r="T826" s="240"/>
      <c r="U826" s="66"/>
    </row>
    <row r="827" spans="2:21" x14ac:dyDescent="0.25">
      <c r="B827" s="66"/>
      <c r="C827" s="235"/>
      <c r="D827" s="236"/>
      <c r="E827" s="237"/>
      <c r="F827" s="238"/>
      <c r="G827" s="235"/>
      <c r="H827" s="235"/>
      <c r="I827" s="205"/>
      <c r="J827" s="205"/>
      <c r="K827" s="205"/>
      <c r="L827" s="205"/>
      <c r="M827" s="239"/>
      <c r="N827" s="235"/>
      <c r="O827" s="240"/>
      <c r="P827" s="238"/>
      <c r="Q827" s="240"/>
      <c r="R827" s="241"/>
      <c r="S827" s="240"/>
      <c r="T827" s="240"/>
      <c r="U827" s="66"/>
    </row>
    <row r="828" spans="2:21" x14ac:dyDescent="0.25">
      <c r="B828" s="66"/>
      <c r="C828" s="235"/>
      <c r="D828" s="236"/>
      <c r="E828" s="237"/>
      <c r="F828" s="238"/>
      <c r="G828" s="235"/>
      <c r="H828" s="235"/>
      <c r="I828" s="205"/>
      <c r="J828" s="205"/>
      <c r="K828" s="205"/>
      <c r="L828" s="205"/>
      <c r="M828" s="239"/>
      <c r="N828" s="235"/>
      <c r="O828" s="240"/>
      <c r="P828" s="238"/>
      <c r="Q828" s="240"/>
      <c r="R828" s="241"/>
      <c r="S828" s="240"/>
      <c r="T828" s="240"/>
      <c r="U828" s="66"/>
    </row>
    <row r="829" spans="2:21" x14ac:dyDescent="0.25">
      <c r="B829" s="66"/>
      <c r="C829" s="235"/>
      <c r="D829" s="236"/>
      <c r="E829" s="237"/>
      <c r="F829" s="238"/>
      <c r="G829" s="235"/>
      <c r="H829" s="235"/>
      <c r="I829" s="205"/>
      <c r="J829" s="205"/>
      <c r="K829" s="205"/>
      <c r="L829" s="205"/>
      <c r="M829" s="239"/>
      <c r="N829" s="235"/>
      <c r="O829" s="240"/>
      <c r="P829" s="238"/>
      <c r="Q829" s="240"/>
      <c r="R829" s="241"/>
      <c r="S829" s="240"/>
      <c r="T829" s="240"/>
      <c r="U829" s="66"/>
    </row>
    <row r="830" spans="2:21" x14ac:dyDescent="0.25">
      <c r="B830" s="66"/>
      <c r="C830" s="235"/>
      <c r="D830" s="236"/>
      <c r="E830" s="237"/>
      <c r="F830" s="238"/>
      <c r="G830" s="235"/>
      <c r="H830" s="235"/>
      <c r="I830" s="205"/>
      <c r="J830" s="205"/>
      <c r="K830" s="205"/>
      <c r="L830" s="205"/>
      <c r="M830" s="239"/>
      <c r="N830" s="235"/>
      <c r="O830" s="240"/>
      <c r="P830" s="238"/>
      <c r="Q830" s="240"/>
      <c r="R830" s="241"/>
      <c r="S830" s="240"/>
      <c r="T830" s="240"/>
      <c r="U830" s="66"/>
    </row>
    <row r="831" spans="2:21" x14ac:dyDescent="0.25">
      <c r="B831" s="66"/>
      <c r="C831" s="235"/>
      <c r="D831" s="236"/>
      <c r="E831" s="237"/>
      <c r="F831" s="238"/>
      <c r="G831" s="235"/>
      <c r="H831" s="235"/>
      <c r="I831" s="205"/>
      <c r="J831" s="205"/>
      <c r="K831" s="205"/>
      <c r="L831" s="205"/>
      <c r="M831" s="239"/>
      <c r="N831" s="235"/>
      <c r="O831" s="240"/>
      <c r="P831" s="238"/>
      <c r="Q831" s="240"/>
      <c r="R831" s="241"/>
      <c r="S831" s="240"/>
      <c r="T831" s="240"/>
      <c r="U831" s="66"/>
    </row>
    <row r="832" spans="2:21" x14ac:dyDescent="0.25">
      <c r="B832" s="66"/>
      <c r="C832" s="235"/>
      <c r="D832" s="236"/>
      <c r="E832" s="237"/>
      <c r="F832" s="238"/>
      <c r="G832" s="235"/>
      <c r="H832" s="235"/>
      <c r="I832" s="205"/>
      <c r="J832" s="205"/>
      <c r="K832" s="205"/>
      <c r="L832" s="205"/>
      <c r="M832" s="239"/>
      <c r="N832" s="235"/>
      <c r="O832" s="240"/>
      <c r="P832" s="238"/>
      <c r="Q832" s="240"/>
      <c r="R832" s="241"/>
      <c r="S832" s="240"/>
      <c r="T832" s="240"/>
      <c r="U832" s="66"/>
    </row>
    <row r="833" spans="2:21" x14ac:dyDescent="0.25">
      <c r="B833" s="66"/>
      <c r="C833" s="235"/>
      <c r="D833" s="236"/>
      <c r="E833" s="237"/>
      <c r="F833" s="238"/>
      <c r="G833" s="235"/>
      <c r="H833" s="235"/>
      <c r="I833" s="205"/>
      <c r="J833" s="205"/>
      <c r="K833" s="205"/>
      <c r="L833" s="205"/>
      <c r="M833" s="239"/>
      <c r="N833" s="235"/>
      <c r="O833" s="240"/>
      <c r="P833" s="238"/>
      <c r="Q833" s="240"/>
      <c r="R833" s="241"/>
      <c r="S833" s="240"/>
      <c r="T833" s="240"/>
      <c r="U833" s="66"/>
    </row>
    <row r="834" spans="2:21" x14ac:dyDescent="0.25">
      <c r="B834" s="66"/>
      <c r="C834" s="235"/>
      <c r="D834" s="236"/>
      <c r="E834" s="237"/>
      <c r="F834" s="238"/>
      <c r="G834" s="235"/>
      <c r="H834" s="235"/>
      <c r="I834" s="205"/>
      <c r="J834" s="205"/>
      <c r="K834" s="205"/>
      <c r="L834" s="205"/>
      <c r="M834" s="239"/>
      <c r="N834" s="235"/>
      <c r="O834" s="240"/>
      <c r="P834" s="238"/>
      <c r="Q834" s="240"/>
      <c r="R834" s="241"/>
      <c r="S834" s="240"/>
      <c r="T834" s="240"/>
      <c r="U834" s="66"/>
    </row>
    <row r="835" spans="2:21" x14ac:dyDescent="0.25">
      <c r="B835" s="66"/>
      <c r="C835" s="235"/>
      <c r="D835" s="236"/>
      <c r="E835" s="237"/>
      <c r="F835" s="238"/>
      <c r="G835" s="235"/>
      <c r="H835" s="235"/>
      <c r="I835" s="205"/>
      <c r="J835" s="205"/>
      <c r="K835" s="205"/>
      <c r="L835" s="205"/>
      <c r="M835" s="239"/>
      <c r="N835" s="235"/>
      <c r="O835" s="240"/>
      <c r="P835" s="238"/>
      <c r="Q835" s="240"/>
      <c r="R835" s="241"/>
      <c r="S835" s="240"/>
      <c r="T835" s="240"/>
      <c r="U835" s="66"/>
    </row>
    <row r="836" spans="2:21" x14ac:dyDescent="0.25">
      <c r="B836" s="66"/>
      <c r="C836" s="235"/>
      <c r="D836" s="236"/>
      <c r="E836" s="237"/>
      <c r="F836" s="238"/>
      <c r="G836" s="235"/>
      <c r="H836" s="235"/>
      <c r="I836" s="205"/>
      <c r="J836" s="205"/>
      <c r="K836" s="205"/>
      <c r="L836" s="205"/>
      <c r="M836" s="239"/>
      <c r="N836" s="235"/>
      <c r="O836" s="240"/>
      <c r="P836" s="238"/>
      <c r="Q836" s="240"/>
      <c r="R836" s="241"/>
      <c r="S836" s="240"/>
      <c r="T836" s="240"/>
      <c r="U836" s="66"/>
    </row>
    <row r="837" spans="2:21" x14ac:dyDescent="0.25">
      <c r="B837" s="66"/>
      <c r="C837" s="235"/>
      <c r="D837" s="236"/>
      <c r="E837" s="237"/>
      <c r="F837" s="238"/>
      <c r="G837" s="235"/>
      <c r="H837" s="235"/>
      <c r="I837" s="205"/>
      <c r="J837" s="205"/>
      <c r="K837" s="205"/>
      <c r="L837" s="205"/>
      <c r="M837" s="239"/>
      <c r="N837" s="235"/>
      <c r="O837" s="240"/>
      <c r="P837" s="238"/>
      <c r="Q837" s="240"/>
      <c r="R837" s="241"/>
      <c r="S837" s="240"/>
      <c r="T837" s="240"/>
      <c r="U837" s="66"/>
    </row>
    <row r="838" spans="2:21" x14ac:dyDescent="0.25">
      <c r="B838" s="66"/>
      <c r="C838" s="235"/>
      <c r="D838" s="236"/>
      <c r="E838" s="237"/>
      <c r="F838" s="238"/>
      <c r="G838" s="235"/>
      <c r="H838" s="235"/>
      <c r="I838" s="205"/>
      <c r="J838" s="205"/>
      <c r="K838" s="205"/>
      <c r="L838" s="205"/>
      <c r="M838" s="239"/>
      <c r="N838" s="235"/>
      <c r="O838" s="240"/>
      <c r="P838" s="238"/>
      <c r="Q838" s="240"/>
      <c r="R838" s="241"/>
      <c r="S838" s="240"/>
      <c r="T838" s="240"/>
      <c r="U838" s="66"/>
    </row>
    <row r="839" spans="2:21" x14ac:dyDescent="0.25">
      <c r="B839" s="66"/>
      <c r="C839" s="235"/>
      <c r="D839" s="236"/>
      <c r="E839" s="237"/>
      <c r="F839" s="238"/>
      <c r="G839" s="235"/>
      <c r="H839" s="235"/>
      <c r="I839" s="205"/>
      <c r="J839" s="205"/>
      <c r="K839" s="205"/>
      <c r="L839" s="205"/>
      <c r="M839" s="239"/>
      <c r="N839" s="235"/>
      <c r="O839" s="240"/>
      <c r="P839" s="238"/>
      <c r="Q839" s="240"/>
      <c r="R839" s="241"/>
      <c r="S839" s="240"/>
      <c r="T839" s="240"/>
      <c r="U839" s="66"/>
    </row>
    <row r="840" spans="2:21" x14ac:dyDescent="0.25">
      <c r="B840" s="66"/>
      <c r="C840" s="235"/>
      <c r="D840" s="236"/>
      <c r="E840" s="237"/>
      <c r="F840" s="238"/>
      <c r="G840" s="235"/>
      <c r="H840" s="235"/>
      <c r="I840" s="205"/>
      <c r="J840" s="205"/>
      <c r="K840" s="205"/>
      <c r="L840" s="205"/>
      <c r="M840" s="239"/>
      <c r="N840" s="235"/>
      <c r="O840" s="240"/>
      <c r="P840" s="238"/>
      <c r="Q840" s="240"/>
      <c r="R840" s="241"/>
      <c r="S840" s="240"/>
      <c r="T840" s="240"/>
      <c r="U840" s="66"/>
    </row>
    <row r="841" spans="2:21" x14ac:dyDescent="0.25">
      <c r="B841" s="66"/>
      <c r="C841" s="235"/>
      <c r="D841" s="236"/>
      <c r="E841" s="237"/>
      <c r="F841" s="238"/>
      <c r="G841" s="235"/>
      <c r="H841" s="235"/>
      <c r="I841" s="205"/>
      <c r="J841" s="205"/>
      <c r="K841" s="205"/>
      <c r="L841" s="205"/>
      <c r="M841" s="239"/>
      <c r="N841" s="235"/>
      <c r="O841" s="240"/>
      <c r="P841" s="238"/>
      <c r="Q841" s="240"/>
      <c r="R841" s="241"/>
      <c r="S841" s="240"/>
      <c r="T841" s="240"/>
      <c r="U841" s="66"/>
    </row>
    <row r="842" spans="2:21" x14ac:dyDescent="0.25">
      <c r="B842" s="66"/>
      <c r="C842" s="235"/>
      <c r="D842" s="236"/>
      <c r="E842" s="237"/>
      <c r="F842" s="238"/>
      <c r="G842" s="235"/>
      <c r="H842" s="235"/>
      <c r="I842" s="205"/>
      <c r="J842" s="205"/>
      <c r="K842" s="205"/>
      <c r="L842" s="205"/>
      <c r="M842" s="239"/>
      <c r="N842" s="235"/>
      <c r="O842" s="240"/>
      <c r="P842" s="238"/>
      <c r="Q842" s="240"/>
      <c r="R842" s="241"/>
      <c r="S842" s="240"/>
      <c r="T842" s="240"/>
      <c r="U842" s="66"/>
    </row>
    <row r="843" spans="2:21" x14ac:dyDescent="0.25">
      <c r="B843" s="66"/>
      <c r="C843" s="235"/>
      <c r="D843" s="236"/>
      <c r="E843" s="237"/>
      <c r="F843" s="238"/>
      <c r="G843" s="235"/>
      <c r="H843" s="235"/>
      <c r="I843" s="205"/>
      <c r="J843" s="205"/>
      <c r="K843" s="205"/>
      <c r="L843" s="205"/>
      <c r="M843" s="239"/>
      <c r="N843" s="235"/>
      <c r="O843" s="240"/>
      <c r="P843" s="238"/>
      <c r="Q843" s="240"/>
      <c r="R843" s="241"/>
      <c r="S843" s="240"/>
      <c r="T843" s="240"/>
      <c r="U843" s="66"/>
    </row>
    <row r="844" spans="2:21" x14ac:dyDescent="0.25">
      <c r="B844" s="66"/>
      <c r="C844" s="235"/>
      <c r="D844" s="236"/>
      <c r="E844" s="237"/>
      <c r="F844" s="238"/>
      <c r="G844" s="235"/>
      <c r="H844" s="235"/>
      <c r="I844" s="205"/>
      <c r="J844" s="205"/>
      <c r="K844" s="205"/>
      <c r="L844" s="205"/>
      <c r="M844" s="239"/>
      <c r="N844" s="235"/>
      <c r="O844" s="240"/>
      <c r="P844" s="238"/>
      <c r="Q844" s="240"/>
      <c r="R844" s="241"/>
      <c r="S844" s="240"/>
      <c r="T844" s="240"/>
      <c r="U844" s="66"/>
    </row>
    <row r="845" spans="2:21" x14ac:dyDescent="0.25">
      <c r="B845" s="66"/>
      <c r="C845" s="235"/>
      <c r="D845" s="236"/>
      <c r="E845" s="237"/>
      <c r="F845" s="238"/>
      <c r="G845" s="235"/>
      <c r="H845" s="235"/>
      <c r="I845" s="205"/>
      <c r="J845" s="205"/>
      <c r="K845" s="205"/>
      <c r="L845" s="205"/>
      <c r="M845" s="239"/>
      <c r="N845" s="235"/>
      <c r="O845" s="240"/>
      <c r="P845" s="238"/>
      <c r="Q845" s="240"/>
      <c r="R845" s="241"/>
      <c r="S845" s="240"/>
      <c r="T845" s="240"/>
      <c r="U845" s="66"/>
    </row>
    <row r="846" spans="2:21" x14ac:dyDescent="0.25">
      <c r="B846" s="66"/>
      <c r="C846" s="235"/>
      <c r="D846" s="236"/>
      <c r="E846" s="237"/>
      <c r="F846" s="238"/>
      <c r="G846" s="235"/>
      <c r="H846" s="235"/>
      <c r="I846" s="205"/>
      <c r="J846" s="205"/>
      <c r="K846" s="205"/>
      <c r="L846" s="205"/>
      <c r="M846" s="239"/>
      <c r="N846" s="235"/>
      <c r="O846" s="240"/>
      <c r="P846" s="238"/>
      <c r="Q846" s="240"/>
      <c r="R846" s="241"/>
      <c r="S846" s="240"/>
      <c r="T846" s="240"/>
      <c r="U846" s="66"/>
    </row>
    <row r="847" spans="2:21" x14ac:dyDescent="0.25">
      <c r="B847" s="66"/>
      <c r="C847" s="235"/>
      <c r="D847" s="236"/>
      <c r="E847" s="237"/>
      <c r="F847" s="238"/>
      <c r="G847" s="235"/>
      <c r="H847" s="235"/>
      <c r="I847" s="205"/>
      <c r="J847" s="205"/>
      <c r="K847" s="205"/>
      <c r="L847" s="205"/>
      <c r="M847" s="239"/>
      <c r="N847" s="235"/>
      <c r="O847" s="240"/>
      <c r="P847" s="238"/>
      <c r="Q847" s="240"/>
      <c r="R847" s="241"/>
      <c r="S847" s="240"/>
      <c r="T847" s="240"/>
      <c r="U847" s="66"/>
    </row>
    <row r="848" spans="2:21" x14ac:dyDescent="0.25">
      <c r="B848" s="66"/>
      <c r="C848" s="235"/>
      <c r="D848" s="236"/>
      <c r="E848" s="237"/>
      <c r="F848" s="238"/>
      <c r="G848" s="235"/>
      <c r="H848" s="235"/>
      <c r="I848" s="205"/>
      <c r="J848" s="205"/>
      <c r="K848" s="205"/>
      <c r="L848" s="205"/>
      <c r="M848" s="239"/>
      <c r="N848" s="235"/>
      <c r="O848" s="240"/>
      <c r="P848" s="238"/>
      <c r="Q848" s="240"/>
      <c r="R848" s="241"/>
      <c r="S848" s="240"/>
      <c r="T848" s="240"/>
      <c r="U848" s="66"/>
    </row>
    <row r="849" spans="2:21" x14ac:dyDescent="0.25">
      <c r="B849" s="66"/>
      <c r="C849" s="235"/>
      <c r="D849" s="236"/>
      <c r="E849" s="237"/>
      <c r="F849" s="238"/>
      <c r="G849" s="235"/>
      <c r="H849" s="235"/>
      <c r="I849" s="205"/>
      <c r="J849" s="205"/>
      <c r="K849" s="205"/>
      <c r="L849" s="205"/>
      <c r="M849" s="239"/>
      <c r="N849" s="235"/>
      <c r="O849" s="240"/>
      <c r="P849" s="238"/>
      <c r="Q849" s="240"/>
      <c r="R849" s="241"/>
      <c r="S849" s="240"/>
      <c r="T849" s="240"/>
      <c r="U849" s="66"/>
    </row>
    <row r="850" spans="2:21" x14ac:dyDescent="0.25">
      <c r="B850" s="66"/>
      <c r="C850" s="235"/>
      <c r="D850" s="236"/>
      <c r="E850" s="237"/>
      <c r="F850" s="238"/>
      <c r="G850" s="235"/>
      <c r="H850" s="235"/>
      <c r="I850" s="205"/>
      <c r="J850" s="205"/>
      <c r="K850" s="205"/>
      <c r="L850" s="205"/>
      <c r="M850" s="239"/>
      <c r="N850" s="235"/>
      <c r="O850" s="240"/>
      <c r="P850" s="238"/>
      <c r="Q850" s="240"/>
      <c r="R850" s="241"/>
      <c r="S850" s="240"/>
      <c r="T850" s="240"/>
      <c r="U850" s="66"/>
    </row>
    <row r="851" spans="2:21" x14ac:dyDescent="0.25">
      <c r="B851" s="66"/>
      <c r="C851" s="235"/>
      <c r="D851" s="236"/>
      <c r="E851" s="237"/>
      <c r="F851" s="238"/>
      <c r="G851" s="235"/>
      <c r="H851" s="235"/>
      <c r="I851" s="205"/>
      <c r="J851" s="205"/>
      <c r="K851" s="205"/>
      <c r="L851" s="205"/>
      <c r="M851" s="239"/>
      <c r="N851" s="235"/>
      <c r="O851" s="240"/>
      <c r="P851" s="238"/>
      <c r="Q851" s="240"/>
      <c r="R851" s="241"/>
      <c r="S851" s="240"/>
      <c r="T851" s="240"/>
      <c r="U851" s="66"/>
    </row>
    <row r="852" spans="2:21" x14ac:dyDescent="0.25">
      <c r="B852" s="66"/>
      <c r="C852" s="235"/>
      <c r="D852" s="236"/>
      <c r="E852" s="237"/>
      <c r="F852" s="238"/>
      <c r="G852" s="235"/>
      <c r="H852" s="235"/>
      <c r="I852" s="205"/>
      <c r="J852" s="205"/>
      <c r="K852" s="205"/>
      <c r="L852" s="205"/>
      <c r="M852" s="239"/>
      <c r="N852" s="235"/>
      <c r="O852" s="240"/>
      <c r="P852" s="238"/>
      <c r="Q852" s="240"/>
      <c r="R852" s="241"/>
      <c r="S852" s="240"/>
      <c r="T852" s="240"/>
      <c r="U852" s="66"/>
    </row>
    <row r="853" spans="2:21" x14ac:dyDescent="0.25">
      <c r="B853" s="66"/>
      <c r="C853" s="235"/>
      <c r="D853" s="236"/>
      <c r="E853" s="237"/>
      <c r="F853" s="238"/>
      <c r="G853" s="235"/>
      <c r="H853" s="235"/>
      <c r="I853" s="205"/>
      <c r="J853" s="205"/>
      <c r="K853" s="205"/>
      <c r="L853" s="205"/>
      <c r="M853" s="239"/>
      <c r="N853" s="235"/>
      <c r="O853" s="240"/>
      <c r="P853" s="238"/>
      <c r="Q853" s="240"/>
      <c r="R853" s="241"/>
      <c r="S853" s="240"/>
      <c r="T853" s="240"/>
      <c r="U853" s="66"/>
    </row>
    <row r="854" spans="2:21" x14ac:dyDescent="0.25">
      <c r="B854" s="66"/>
      <c r="C854" s="235"/>
      <c r="D854" s="236"/>
      <c r="E854" s="237"/>
      <c r="F854" s="238"/>
      <c r="G854" s="235"/>
      <c r="H854" s="235"/>
      <c r="I854" s="205"/>
      <c r="J854" s="205"/>
      <c r="K854" s="205"/>
      <c r="L854" s="205"/>
      <c r="M854" s="239"/>
      <c r="N854" s="235"/>
      <c r="O854" s="240"/>
      <c r="P854" s="238"/>
      <c r="Q854" s="240"/>
      <c r="R854" s="241"/>
      <c r="S854" s="240"/>
      <c r="T854" s="240"/>
      <c r="U854" s="66"/>
    </row>
    <row r="855" spans="2:21" x14ac:dyDescent="0.25">
      <c r="B855" s="66"/>
      <c r="C855" s="235"/>
      <c r="D855" s="236"/>
      <c r="E855" s="237"/>
      <c r="F855" s="238"/>
      <c r="G855" s="235"/>
      <c r="H855" s="235"/>
      <c r="I855" s="205"/>
      <c r="J855" s="205"/>
      <c r="K855" s="205"/>
      <c r="L855" s="205"/>
      <c r="M855" s="239"/>
      <c r="N855" s="235"/>
      <c r="O855" s="240"/>
      <c r="P855" s="238"/>
      <c r="Q855" s="240"/>
      <c r="R855" s="241"/>
      <c r="S855" s="240"/>
      <c r="T855" s="240"/>
      <c r="U855" s="66"/>
    </row>
    <row r="856" spans="2:21" x14ac:dyDescent="0.25">
      <c r="B856" s="66"/>
      <c r="C856" s="235"/>
      <c r="D856" s="236"/>
      <c r="E856" s="237"/>
      <c r="F856" s="238"/>
      <c r="G856" s="235"/>
      <c r="H856" s="235"/>
      <c r="I856" s="205"/>
      <c r="J856" s="205"/>
      <c r="K856" s="205"/>
      <c r="L856" s="205"/>
      <c r="M856" s="239"/>
      <c r="N856" s="235"/>
      <c r="O856" s="240"/>
      <c r="P856" s="238"/>
      <c r="Q856" s="240"/>
      <c r="R856" s="241"/>
      <c r="S856" s="240"/>
      <c r="T856" s="240"/>
      <c r="U856" s="66"/>
    </row>
    <row r="857" spans="2:21" x14ac:dyDescent="0.25">
      <c r="B857" s="66"/>
      <c r="C857" s="235"/>
      <c r="D857" s="236"/>
      <c r="E857" s="237"/>
      <c r="F857" s="238"/>
      <c r="G857" s="235"/>
      <c r="H857" s="235"/>
      <c r="I857" s="205"/>
      <c r="J857" s="205"/>
      <c r="K857" s="205"/>
      <c r="L857" s="205"/>
      <c r="M857" s="239"/>
      <c r="N857" s="235"/>
      <c r="O857" s="240"/>
      <c r="P857" s="238"/>
      <c r="Q857" s="240"/>
      <c r="R857" s="241"/>
      <c r="S857" s="240"/>
      <c r="T857" s="240"/>
      <c r="U857" s="66"/>
    </row>
    <row r="858" spans="2:21" x14ac:dyDescent="0.25">
      <c r="B858" s="66"/>
      <c r="C858" s="235"/>
      <c r="D858" s="236"/>
      <c r="E858" s="237"/>
      <c r="F858" s="238"/>
      <c r="G858" s="235"/>
      <c r="H858" s="235"/>
      <c r="I858" s="205"/>
      <c r="J858" s="205"/>
      <c r="K858" s="205"/>
      <c r="L858" s="205"/>
      <c r="M858" s="239"/>
      <c r="N858" s="235"/>
      <c r="O858" s="240"/>
      <c r="P858" s="238"/>
      <c r="Q858" s="240"/>
      <c r="R858" s="241"/>
      <c r="S858" s="240"/>
      <c r="T858" s="240"/>
      <c r="U858" s="66"/>
    </row>
    <row r="859" spans="2:21" x14ac:dyDescent="0.25">
      <c r="B859" s="66"/>
      <c r="C859" s="235"/>
      <c r="D859" s="236"/>
      <c r="E859" s="237"/>
      <c r="F859" s="238"/>
      <c r="G859" s="235"/>
      <c r="H859" s="235"/>
      <c r="I859" s="205"/>
      <c r="J859" s="205"/>
      <c r="K859" s="205"/>
      <c r="L859" s="205"/>
      <c r="M859" s="239"/>
      <c r="N859" s="235"/>
      <c r="O859" s="240"/>
      <c r="P859" s="238"/>
      <c r="Q859" s="240"/>
      <c r="R859" s="241"/>
      <c r="S859" s="240"/>
      <c r="T859" s="240"/>
      <c r="U859" s="66"/>
    </row>
    <row r="860" spans="2:21" x14ac:dyDescent="0.25">
      <c r="B860" s="66"/>
      <c r="C860" s="235"/>
      <c r="D860" s="236"/>
      <c r="E860" s="237"/>
      <c r="F860" s="238"/>
      <c r="G860" s="235"/>
      <c r="H860" s="235"/>
      <c r="I860" s="205"/>
      <c r="J860" s="205"/>
      <c r="K860" s="205"/>
      <c r="L860" s="205"/>
      <c r="M860" s="239"/>
      <c r="N860" s="235"/>
      <c r="O860" s="240"/>
      <c r="P860" s="238"/>
      <c r="Q860" s="240"/>
      <c r="R860" s="241"/>
      <c r="S860" s="240"/>
      <c r="T860" s="240"/>
      <c r="U860" s="66"/>
    </row>
    <row r="861" spans="2:21" x14ac:dyDescent="0.25">
      <c r="B861" s="66"/>
      <c r="C861" s="235"/>
      <c r="D861" s="236"/>
      <c r="E861" s="237"/>
      <c r="F861" s="238"/>
      <c r="G861" s="235"/>
      <c r="H861" s="235"/>
      <c r="I861" s="205"/>
      <c r="J861" s="205"/>
      <c r="K861" s="205"/>
      <c r="L861" s="205"/>
      <c r="M861" s="239"/>
      <c r="N861" s="235"/>
      <c r="O861" s="240"/>
      <c r="P861" s="238"/>
      <c r="Q861" s="240"/>
      <c r="R861" s="241"/>
      <c r="S861" s="240"/>
      <c r="T861" s="240"/>
      <c r="U861" s="66"/>
    </row>
    <row r="862" spans="2:21" x14ac:dyDescent="0.25">
      <c r="B862" s="66"/>
      <c r="C862" s="235"/>
      <c r="D862" s="236"/>
      <c r="E862" s="237"/>
      <c r="F862" s="238"/>
      <c r="G862" s="235"/>
      <c r="H862" s="235"/>
      <c r="I862" s="205"/>
      <c r="J862" s="205"/>
      <c r="K862" s="205"/>
      <c r="L862" s="205"/>
      <c r="M862" s="239"/>
      <c r="N862" s="235"/>
      <c r="O862" s="240"/>
      <c r="P862" s="238"/>
      <c r="Q862" s="240"/>
      <c r="R862" s="241"/>
      <c r="S862" s="240"/>
      <c r="T862" s="240"/>
      <c r="U862" s="66"/>
    </row>
    <row r="863" spans="2:21" x14ac:dyDescent="0.25">
      <c r="B863" s="66"/>
      <c r="C863" s="235"/>
      <c r="D863" s="236"/>
      <c r="E863" s="237"/>
      <c r="F863" s="238"/>
      <c r="G863" s="235"/>
      <c r="H863" s="235"/>
      <c r="I863" s="205"/>
      <c r="J863" s="205"/>
      <c r="K863" s="205"/>
      <c r="L863" s="205"/>
      <c r="M863" s="239"/>
      <c r="N863" s="235"/>
      <c r="O863" s="240"/>
      <c r="P863" s="238"/>
      <c r="Q863" s="240"/>
      <c r="R863" s="241"/>
      <c r="S863" s="240"/>
      <c r="T863" s="240"/>
      <c r="U863" s="66"/>
    </row>
    <row r="864" spans="2:21" x14ac:dyDescent="0.25">
      <c r="B864" s="66"/>
      <c r="C864" s="235"/>
      <c r="D864" s="236"/>
      <c r="E864" s="237"/>
      <c r="F864" s="238"/>
      <c r="G864" s="235"/>
      <c r="H864" s="235"/>
      <c r="I864" s="205"/>
      <c r="J864" s="205"/>
      <c r="K864" s="205"/>
      <c r="L864" s="205"/>
      <c r="M864" s="239"/>
      <c r="N864" s="235"/>
      <c r="O864" s="240"/>
      <c r="P864" s="238"/>
      <c r="Q864" s="240"/>
      <c r="R864" s="241"/>
      <c r="S864" s="240"/>
      <c r="T864" s="240"/>
      <c r="U864" s="66"/>
    </row>
    <row r="865" spans="2:21" x14ac:dyDescent="0.25">
      <c r="B865" s="66"/>
      <c r="C865" s="235"/>
      <c r="D865" s="236"/>
      <c r="E865" s="237"/>
      <c r="F865" s="238"/>
      <c r="G865" s="235"/>
      <c r="H865" s="235"/>
      <c r="I865" s="205"/>
      <c r="J865" s="205"/>
      <c r="K865" s="205"/>
      <c r="L865" s="205"/>
      <c r="M865" s="239"/>
      <c r="N865" s="235"/>
      <c r="O865" s="240"/>
      <c r="P865" s="238"/>
      <c r="Q865" s="240"/>
      <c r="R865" s="241"/>
      <c r="S865" s="240"/>
      <c r="T865" s="240"/>
      <c r="U865" s="66"/>
    </row>
    <row r="866" spans="2:21" x14ac:dyDescent="0.25">
      <c r="B866" s="66"/>
      <c r="C866" s="235"/>
      <c r="D866" s="236"/>
      <c r="E866" s="237"/>
      <c r="F866" s="238"/>
      <c r="G866" s="235"/>
      <c r="H866" s="235"/>
      <c r="I866" s="205"/>
      <c r="J866" s="205"/>
      <c r="K866" s="205"/>
      <c r="L866" s="205"/>
      <c r="M866" s="239"/>
      <c r="N866" s="235"/>
      <c r="O866" s="240"/>
      <c r="P866" s="238"/>
      <c r="Q866" s="240"/>
      <c r="R866" s="241"/>
      <c r="S866" s="240"/>
      <c r="T866" s="240"/>
      <c r="U866" s="66"/>
    </row>
    <row r="867" spans="2:21" x14ac:dyDescent="0.25">
      <c r="B867" s="66"/>
      <c r="C867" s="235"/>
      <c r="D867" s="236"/>
      <c r="E867" s="237"/>
      <c r="F867" s="238"/>
      <c r="G867" s="235"/>
      <c r="H867" s="235"/>
      <c r="I867" s="205"/>
      <c r="J867" s="205"/>
      <c r="K867" s="205"/>
      <c r="L867" s="205"/>
      <c r="M867" s="239"/>
      <c r="N867" s="235"/>
      <c r="O867" s="240"/>
      <c r="P867" s="238"/>
      <c r="Q867" s="240"/>
      <c r="R867" s="241"/>
      <c r="S867" s="240"/>
      <c r="T867" s="240"/>
      <c r="U867" s="66"/>
    </row>
    <row r="868" spans="2:21" x14ac:dyDescent="0.25">
      <c r="B868" s="66"/>
      <c r="C868" s="235"/>
      <c r="D868" s="236"/>
      <c r="E868" s="237"/>
      <c r="F868" s="238"/>
      <c r="G868" s="235"/>
      <c r="H868" s="235"/>
      <c r="I868" s="205"/>
      <c r="J868" s="205"/>
      <c r="K868" s="205"/>
      <c r="L868" s="205"/>
      <c r="M868" s="239"/>
      <c r="N868" s="235"/>
      <c r="O868" s="240"/>
      <c r="P868" s="238"/>
      <c r="Q868" s="240"/>
      <c r="R868" s="241"/>
      <c r="S868" s="240"/>
      <c r="T868" s="240"/>
      <c r="U868" s="66"/>
    </row>
    <row r="869" spans="2:21" x14ac:dyDescent="0.25">
      <c r="B869" s="66"/>
      <c r="C869" s="235"/>
      <c r="D869" s="236"/>
      <c r="E869" s="237"/>
      <c r="F869" s="238"/>
      <c r="G869" s="235"/>
      <c r="H869" s="235"/>
      <c r="I869" s="205"/>
      <c r="J869" s="205"/>
      <c r="K869" s="205"/>
      <c r="L869" s="205"/>
      <c r="M869" s="239"/>
      <c r="N869" s="235"/>
      <c r="O869" s="240"/>
      <c r="P869" s="238"/>
      <c r="Q869" s="240"/>
      <c r="R869" s="241"/>
      <c r="S869" s="240"/>
      <c r="T869" s="240"/>
      <c r="U869" s="66"/>
    </row>
    <row r="870" spans="2:21" x14ac:dyDescent="0.25">
      <c r="B870" s="66"/>
      <c r="C870" s="235"/>
      <c r="D870" s="236"/>
      <c r="E870" s="237"/>
      <c r="F870" s="238"/>
      <c r="G870" s="235"/>
      <c r="H870" s="235"/>
      <c r="I870" s="205"/>
      <c r="J870" s="205"/>
      <c r="K870" s="205"/>
      <c r="L870" s="205"/>
      <c r="M870" s="239"/>
      <c r="N870" s="235"/>
      <c r="O870" s="240"/>
      <c r="P870" s="238"/>
      <c r="Q870" s="240"/>
      <c r="R870" s="241"/>
      <c r="S870" s="240"/>
      <c r="T870" s="240"/>
      <c r="U870" s="66"/>
    </row>
    <row r="871" spans="2:21" x14ac:dyDescent="0.25">
      <c r="B871" s="66"/>
      <c r="C871" s="235"/>
      <c r="D871" s="236"/>
      <c r="E871" s="237"/>
      <c r="F871" s="238"/>
      <c r="G871" s="235"/>
      <c r="H871" s="235"/>
      <c r="I871" s="205"/>
      <c r="J871" s="205"/>
      <c r="K871" s="205"/>
      <c r="L871" s="205"/>
      <c r="M871" s="239"/>
      <c r="N871" s="235"/>
      <c r="O871" s="240"/>
      <c r="P871" s="238"/>
      <c r="Q871" s="240"/>
      <c r="R871" s="241"/>
      <c r="S871" s="240"/>
      <c r="T871" s="240"/>
      <c r="U871" s="66"/>
    </row>
    <row r="872" spans="2:21" x14ac:dyDescent="0.25">
      <c r="B872" s="66"/>
      <c r="C872" s="235"/>
      <c r="D872" s="236"/>
      <c r="E872" s="237"/>
      <c r="F872" s="238"/>
      <c r="G872" s="235"/>
      <c r="H872" s="235"/>
      <c r="I872" s="205"/>
      <c r="J872" s="205"/>
      <c r="K872" s="205"/>
      <c r="L872" s="205"/>
      <c r="M872" s="239"/>
      <c r="N872" s="235"/>
      <c r="O872" s="240"/>
      <c r="P872" s="238"/>
      <c r="Q872" s="240"/>
      <c r="R872" s="241"/>
      <c r="S872" s="240"/>
      <c r="T872" s="240"/>
      <c r="U872" s="66"/>
    </row>
    <row r="873" spans="2:21" x14ac:dyDescent="0.25">
      <c r="B873" s="66"/>
      <c r="C873" s="235"/>
      <c r="D873" s="236"/>
      <c r="E873" s="237"/>
      <c r="F873" s="238"/>
      <c r="G873" s="235"/>
      <c r="H873" s="235"/>
      <c r="I873" s="205"/>
      <c r="J873" s="205"/>
      <c r="K873" s="205"/>
      <c r="L873" s="205"/>
      <c r="M873" s="239"/>
      <c r="N873" s="235"/>
      <c r="O873" s="240"/>
      <c r="P873" s="238"/>
      <c r="Q873" s="240"/>
      <c r="R873" s="241"/>
      <c r="S873" s="240"/>
      <c r="T873" s="240"/>
      <c r="U873" s="66"/>
    </row>
    <row r="874" spans="2:21" x14ac:dyDescent="0.25">
      <c r="B874" s="66"/>
      <c r="C874" s="235"/>
      <c r="D874" s="236"/>
      <c r="E874" s="237"/>
      <c r="F874" s="238"/>
      <c r="G874" s="235"/>
      <c r="H874" s="235"/>
      <c r="I874" s="205"/>
      <c r="J874" s="205"/>
      <c r="K874" s="205"/>
      <c r="L874" s="205"/>
      <c r="M874" s="239"/>
      <c r="N874" s="235"/>
      <c r="O874" s="240"/>
      <c r="P874" s="238"/>
      <c r="Q874" s="240"/>
      <c r="R874" s="241"/>
      <c r="S874" s="240"/>
      <c r="T874" s="240"/>
      <c r="U874" s="66"/>
    </row>
    <row r="875" spans="2:21" x14ac:dyDescent="0.25">
      <c r="B875" s="66"/>
      <c r="C875" s="235"/>
      <c r="D875" s="236"/>
      <c r="E875" s="237"/>
      <c r="F875" s="238"/>
      <c r="G875" s="235"/>
      <c r="H875" s="235"/>
      <c r="I875" s="205"/>
      <c r="J875" s="205"/>
      <c r="K875" s="205"/>
      <c r="L875" s="205"/>
      <c r="M875" s="239"/>
      <c r="N875" s="235"/>
      <c r="O875" s="240"/>
      <c r="P875" s="238"/>
      <c r="Q875" s="240"/>
      <c r="R875" s="241"/>
      <c r="S875" s="240"/>
      <c r="T875" s="240"/>
      <c r="U875" s="66"/>
    </row>
    <row r="876" spans="2:21" x14ac:dyDescent="0.25">
      <c r="B876" s="66"/>
      <c r="C876" s="235"/>
      <c r="D876" s="236"/>
      <c r="E876" s="237"/>
      <c r="F876" s="238"/>
      <c r="G876" s="235"/>
      <c r="H876" s="235"/>
      <c r="I876" s="205"/>
      <c r="J876" s="205"/>
      <c r="K876" s="205"/>
      <c r="L876" s="205"/>
      <c r="M876" s="239"/>
      <c r="N876" s="235"/>
      <c r="O876" s="240"/>
      <c r="P876" s="238"/>
      <c r="Q876" s="240"/>
      <c r="R876" s="241"/>
      <c r="S876" s="240"/>
      <c r="T876" s="240"/>
      <c r="U876" s="66"/>
    </row>
    <row r="877" spans="2:21" x14ac:dyDescent="0.25">
      <c r="B877" s="66"/>
      <c r="C877" s="235"/>
      <c r="D877" s="236"/>
      <c r="E877" s="237"/>
      <c r="F877" s="238"/>
      <c r="G877" s="235"/>
      <c r="H877" s="235"/>
      <c r="I877" s="205"/>
      <c r="J877" s="205"/>
      <c r="K877" s="205"/>
      <c r="L877" s="205"/>
      <c r="M877" s="239"/>
      <c r="N877" s="235"/>
      <c r="O877" s="240"/>
      <c r="P877" s="238"/>
      <c r="Q877" s="240"/>
      <c r="R877" s="241"/>
      <c r="S877" s="240"/>
      <c r="T877" s="240"/>
      <c r="U877" s="66"/>
    </row>
    <row r="878" spans="2:21" x14ac:dyDescent="0.25">
      <c r="B878" s="66"/>
      <c r="C878" s="235"/>
      <c r="D878" s="236"/>
      <c r="E878" s="237"/>
      <c r="F878" s="238"/>
      <c r="G878" s="235"/>
      <c r="H878" s="235"/>
      <c r="I878" s="205"/>
      <c r="J878" s="205"/>
      <c r="K878" s="205"/>
      <c r="L878" s="205"/>
      <c r="M878" s="239"/>
      <c r="N878" s="235"/>
      <c r="O878" s="240"/>
      <c r="P878" s="238"/>
      <c r="Q878" s="240"/>
      <c r="R878" s="241"/>
      <c r="S878" s="240"/>
      <c r="T878" s="240"/>
      <c r="U878" s="66"/>
    </row>
    <row r="879" spans="2:21" x14ac:dyDescent="0.25">
      <c r="B879" s="66"/>
      <c r="C879" s="235"/>
      <c r="D879" s="236"/>
      <c r="E879" s="237"/>
      <c r="F879" s="238"/>
      <c r="G879" s="235"/>
      <c r="H879" s="235"/>
      <c r="I879" s="205"/>
      <c r="J879" s="205"/>
      <c r="K879" s="205"/>
      <c r="L879" s="205"/>
      <c r="M879" s="239"/>
      <c r="N879" s="235"/>
      <c r="O879" s="240"/>
      <c r="P879" s="238"/>
      <c r="Q879" s="240"/>
      <c r="R879" s="241"/>
      <c r="S879" s="240"/>
      <c r="T879" s="240"/>
      <c r="U879" s="66"/>
    </row>
    <row r="880" spans="2:21" x14ac:dyDescent="0.25">
      <c r="B880" s="66"/>
      <c r="C880" s="235"/>
      <c r="D880" s="236"/>
      <c r="E880" s="237"/>
      <c r="F880" s="238"/>
      <c r="G880" s="235"/>
      <c r="H880" s="235"/>
      <c r="I880" s="205"/>
      <c r="J880" s="205"/>
      <c r="K880" s="205"/>
      <c r="L880" s="205"/>
      <c r="M880" s="239"/>
      <c r="N880" s="235"/>
      <c r="O880" s="240"/>
      <c r="P880" s="238"/>
      <c r="Q880" s="240"/>
      <c r="R880" s="241"/>
      <c r="S880" s="240"/>
      <c r="T880" s="240"/>
      <c r="U880" s="66"/>
    </row>
    <row r="881" spans="2:21" x14ac:dyDescent="0.25">
      <c r="B881" s="66"/>
      <c r="C881" s="235"/>
      <c r="D881" s="236"/>
      <c r="E881" s="237"/>
      <c r="F881" s="238"/>
      <c r="G881" s="235"/>
      <c r="H881" s="235"/>
      <c r="I881" s="205"/>
      <c r="J881" s="205"/>
      <c r="K881" s="205"/>
      <c r="L881" s="205"/>
      <c r="M881" s="239"/>
      <c r="N881" s="235"/>
      <c r="O881" s="240"/>
      <c r="P881" s="238"/>
      <c r="Q881" s="240"/>
      <c r="R881" s="241"/>
      <c r="S881" s="240"/>
      <c r="T881" s="240"/>
      <c r="U881" s="66"/>
    </row>
    <row r="882" spans="2:21" x14ac:dyDescent="0.25">
      <c r="B882" s="66"/>
      <c r="C882" s="235"/>
      <c r="D882" s="236"/>
      <c r="E882" s="237"/>
      <c r="F882" s="238"/>
      <c r="G882" s="235"/>
      <c r="H882" s="235"/>
      <c r="I882" s="205"/>
      <c r="J882" s="205"/>
      <c r="K882" s="205"/>
      <c r="L882" s="205"/>
      <c r="M882" s="239"/>
      <c r="N882" s="235"/>
      <c r="O882" s="240"/>
      <c r="P882" s="238"/>
      <c r="Q882" s="240"/>
      <c r="R882" s="241"/>
      <c r="S882" s="240"/>
      <c r="T882" s="240"/>
      <c r="U882" s="66"/>
    </row>
    <row r="883" spans="2:21" x14ac:dyDescent="0.25">
      <c r="B883" s="66"/>
      <c r="C883" s="235"/>
      <c r="D883" s="236"/>
      <c r="E883" s="237"/>
      <c r="F883" s="238"/>
      <c r="G883" s="235"/>
      <c r="H883" s="235"/>
      <c r="I883" s="205"/>
      <c r="J883" s="205"/>
      <c r="K883" s="205"/>
      <c r="L883" s="205"/>
      <c r="M883" s="239"/>
      <c r="N883" s="235"/>
      <c r="O883" s="240"/>
      <c r="P883" s="238"/>
      <c r="Q883" s="240"/>
      <c r="R883" s="241"/>
      <c r="S883" s="240"/>
      <c r="T883" s="240"/>
      <c r="U883" s="66"/>
    </row>
    <row r="884" spans="2:21" x14ac:dyDescent="0.25">
      <c r="B884" s="66"/>
      <c r="C884" s="235"/>
      <c r="D884" s="236"/>
      <c r="E884" s="237"/>
      <c r="F884" s="238"/>
      <c r="G884" s="235"/>
      <c r="H884" s="235"/>
      <c r="I884" s="205"/>
      <c r="J884" s="205"/>
      <c r="K884" s="205"/>
      <c r="L884" s="205"/>
      <c r="M884" s="239"/>
      <c r="N884" s="235"/>
      <c r="O884" s="240"/>
      <c r="P884" s="238"/>
      <c r="Q884" s="240"/>
      <c r="R884" s="241"/>
      <c r="S884" s="240"/>
      <c r="T884" s="240"/>
      <c r="U884" s="66"/>
    </row>
    <row r="885" spans="2:21" x14ac:dyDescent="0.25">
      <c r="B885" s="66"/>
      <c r="C885" s="235"/>
      <c r="D885" s="236"/>
      <c r="E885" s="237"/>
      <c r="F885" s="238"/>
      <c r="G885" s="235"/>
      <c r="H885" s="235"/>
      <c r="I885" s="205"/>
      <c r="J885" s="205"/>
      <c r="K885" s="205"/>
      <c r="L885" s="205"/>
      <c r="M885" s="239"/>
      <c r="N885" s="235"/>
      <c r="O885" s="240"/>
      <c r="P885" s="238"/>
      <c r="Q885" s="240"/>
      <c r="R885" s="241"/>
      <c r="S885" s="240"/>
      <c r="T885" s="240"/>
      <c r="U885" s="66"/>
    </row>
    <row r="886" spans="2:21" x14ac:dyDescent="0.25">
      <c r="B886" s="66"/>
      <c r="C886" s="235"/>
      <c r="D886" s="236"/>
      <c r="E886" s="237"/>
      <c r="F886" s="238"/>
      <c r="G886" s="235"/>
      <c r="H886" s="235"/>
      <c r="I886" s="205"/>
      <c r="J886" s="205"/>
      <c r="K886" s="205"/>
      <c r="L886" s="205"/>
      <c r="M886" s="239"/>
      <c r="N886" s="235"/>
      <c r="O886" s="240"/>
      <c r="P886" s="238"/>
      <c r="Q886" s="240"/>
      <c r="R886" s="241"/>
      <c r="S886" s="240"/>
      <c r="T886" s="240"/>
      <c r="U886" s="66"/>
    </row>
    <row r="887" spans="2:21" x14ac:dyDescent="0.25">
      <c r="B887" s="66"/>
      <c r="C887" s="235"/>
      <c r="D887" s="236"/>
      <c r="E887" s="237"/>
      <c r="F887" s="238"/>
      <c r="G887" s="235"/>
      <c r="H887" s="235"/>
      <c r="I887" s="205"/>
      <c r="J887" s="205"/>
      <c r="K887" s="205"/>
      <c r="L887" s="205"/>
      <c r="M887" s="239"/>
      <c r="N887" s="235"/>
      <c r="O887" s="240"/>
      <c r="P887" s="238"/>
      <c r="Q887" s="240"/>
      <c r="R887" s="241"/>
      <c r="S887" s="240"/>
      <c r="T887" s="240"/>
      <c r="U887" s="66"/>
    </row>
    <row r="888" spans="2:21" x14ac:dyDescent="0.25">
      <c r="B888" s="66"/>
      <c r="C888" s="235"/>
      <c r="D888" s="236"/>
      <c r="E888" s="237"/>
      <c r="F888" s="238"/>
      <c r="G888" s="235"/>
      <c r="H888" s="235"/>
      <c r="I888" s="205"/>
      <c r="J888" s="205"/>
      <c r="K888" s="205"/>
      <c r="L888" s="205"/>
      <c r="M888" s="239"/>
      <c r="N888" s="235"/>
      <c r="O888" s="240"/>
      <c r="P888" s="238"/>
      <c r="Q888" s="240"/>
      <c r="R888" s="241"/>
      <c r="S888" s="240"/>
      <c r="T888" s="240"/>
      <c r="U888" s="66"/>
    </row>
    <row r="889" spans="2:21" x14ac:dyDescent="0.25">
      <c r="B889" s="66"/>
      <c r="C889" s="235"/>
      <c r="D889" s="236"/>
      <c r="E889" s="237"/>
      <c r="F889" s="238"/>
      <c r="G889" s="235"/>
      <c r="H889" s="235"/>
      <c r="I889" s="205"/>
      <c r="J889" s="205"/>
      <c r="K889" s="205"/>
      <c r="L889" s="205"/>
      <c r="M889" s="239"/>
      <c r="N889" s="235"/>
      <c r="O889" s="240"/>
      <c r="P889" s="238"/>
      <c r="Q889" s="240"/>
      <c r="R889" s="241"/>
      <c r="S889" s="240"/>
      <c r="T889" s="240"/>
      <c r="U889" s="66"/>
    </row>
    <row r="890" spans="2:21" x14ac:dyDescent="0.25">
      <c r="B890" s="66"/>
      <c r="C890" s="235"/>
      <c r="D890" s="236"/>
      <c r="E890" s="237"/>
      <c r="F890" s="238"/>
      <c r="G890" s="235"/>
      <c r="H890" s="235"/>
      <c r="I890" s="205"/>
      <c r="J890" s="205"/>
      <c r="K890" s="205"/>
      <c r="L890" s="205"/>
      <c r="M890" s="239"/>
      <c r="N890" s="235"/>
      <c r="O890" s="240"/>
      <c r="P890" s="238"/>
      <c r="Q890" s="240"/>
      <c r="R890" s="241"/>
      <c r="S890" s="240"/>
      <c r="T890" s="240"/>
      <c r="U890" s="66"/>
    </row>
    <row r="891" spans="2:21" x14ac:dyDescent="0.25">
      <c r="B891" s="66"/>
      <c r="C891" s="235"/>
      <c r="D891" s="236"/>
      <c r="E891" s="237"/>
      <c r="F891" s="238"/>
      <c r="G891" s="235"/>
      <c r="H891" s="235"/>
      <c r="I891" s="205"/>
      <c r="J891" s="205"/>
      <c r="K891" s="205"/>
      <c r="L891" s="205"/>
      <c r="M891" s="239"/>
      <c r="N891" s="235"/>
      <c r="O891" s="240"/>
      <c r="P891" s="238"/>
      <c r="Q891" s="240"/>
      <c r="R891" s="241"/>
      <c r="S891" s="240"/>
      <c r="T891" s="240"/>
      <c r="U891" s="66"/>
    </row>
    <row r="892" spans="2:21" x14ac:dyDescent="0.25">
      <c r="B892" s="66"/>
      <c r="C892" s="235"/>
      <c r="D892" s="236"/>
      <c r="E892" s="237"/>
      <c r="F892" s="238"/>
      <c r="G892" s="235"/>
      <c r="H892" s="235"/>
      <c r="I892" s="205"/>
      <c r="J892" s="205"/>
      <c r="K892" s="205"/>
      <c r="L892" s="205"/>
      <c r="M892" s="239"/>
      <c r="N892" s="235"/>
      <c r="O892" s="240"/>
      <c r="P892" s="238"/>
      <c r="Q892" s="240"/>
      <c r="R892" s="241"/>
      <c r="S892" s="240"/>
      <c r="T892" s="240"/>
      <c r="U892" s="66"/>
    </row>
    <row r="893" spans="2:21" x14ac:dyDescent="0.25">
      <c r="B893" s="66"/>
      <c r="C893" s="235"/>
      <c r="D893" s="236"/>
      <c r="E893" s="237"/>
      <c r="F893" s="238"/>
      <c r="G893" s="235"/>
      <c r="H893" s="235"/>
      <c r="I893" s="205"/>
      <c r="J893" s="205"/>
      <c r="K893" s="205"/>
      <c r="L893" s="205"/>
      <c r="M893" s="239"/>
      <c r="N893" s="235"/>
      <c r="O893" s="240"/>
      <c r="P893" s="238"/>
      <c r="Q893" s="240"/>
      <c r="R893" s="241"/>
      <c r="S893" s="240"/>
      <c r="T893" s="240"/>
      <c r="U893" s="66"/>
    </row>
    <row r="894" spans="2:21" x14ac:dyDescent="0.25">
      <c r="B894" s="66"/>
      <c r="C894" s="235"/>
      <c r="D894" s="236"/>
      <c r="E894" s="237"/>
      <c r="F894" s="238"/>
      <c r="G894" s="235"/>
      <c r="H894" s="235"/>
      <c r="I894" s="205"/>
      <c r="J894" s="205"/>
      <c r="K894" s="205"/>
      <c r="L894" s="205"/>
      <c r="M894" s="239"/>
      <c r="N894" s="235"/>
      <c r="O894" s="240"/>
      <c r="P894" s="238"/>
      <c r="Q894" s="240"/>
      <c r="R894" s="241"/>
      <c r="S894" s="240"/>
      <c r="T894" s="240"/>
      <c r="U894" s="66"/>
    </row>
    <row r="895" spans="2:21" x14ac:dyDescent="0.25">
      <c r="B895" s="66"/>
      <c r="C895" s="235"/>
      <c r="D895" s="236"/>
      <c r="E895" s="237"/>
      <c r="F895" s="238"/>
      <c r="G895" s="235"/>
      <c r="H895" s="235"/>
      <c r="I895" s="205"/>
      <c r="J895" s="205"/>
      <c r="K895" s="205"/>
      <c r="L895" s="205"/>
      <c r="M895" s="239"/>
      <c r="N895" s="235"/>
      <c r="O895" s="240"/>
      <c r="P895" s="238"/>
      <c r="Q895" s="240"/>
      <c r="R895" s="241"/>
      <c r="S895" s="240"/>
      <c r="T895" s="240"/>
      <c r="U895" s="66"/>
    </row>
    <row r="896" spans="2:21" x14ac:dyDescent="0.25">
      <c r="B896" s="66"/>
      <c r="C896" s="235"/>
      <c r="D896" s="236"/>
      <c r="E896" s="237"/>
      <c r="F896" s="238"/>
      <c r="G896" s="235"/>
      <c r="H896" s="235"/>
      <c r="I896" s="205"/>
      <c r="J896" s="205"/>
      <c r="K896" s="205"/>
      <c r="L896" s="205"/>
      <c r="M896" s="239"/>
      <c r="N896" s="235"/>
      <c r="O896" s="240"/>
      <c r="P896" s="238"/>
      <c r="Q896" s="240"/>
      <c r="R896" s="241"/>
      <c r="S896" s="240"/>
      <c r="T896" s="240"/>
      <c r="U896" s="66"/>
    </row>
    <row r="897" spans="2:21" x14ac:dyDescent="0.25">
      <c r="B897" s="66"/>
      <c r="C897" s="235"/>
      <c r="D897" s="236"/>
      <c r="E897" s="237"/>
      <c r="F897" s="238"/>
      <c r="G897" s="235"/>
      <c r="H897" s="235"/>
      <c r="I897" s="205"/>
      <c r="J897" s="205"/>
      <c r="K897" s="205"/>
      <c r="L897" s="205"/>
      <c r="M897" s="239"/>
      <c r="N897" s="235"/>
      <c r="O897" s="240"/>
      <c r="P897" s="238"/>
      <c r="Q897" s="240"/>
      <c r="R897" s="241"/>
      <c r="S897" s="240"/>
      <c r="T897" s="240"/>
      <c r="U897" s="66"/>
    </row>
    <row r="898" spans="2:21" x14ac:dyDescent="0.25">
      <c r="B898" s="66"/>
      <c r="C898" s="235"/>
      <c r="D898" s="236"/>
      <c r="E898" s="237"/>
      <c r="F898" s="238"/>
      <c r="G898" s="235"/>
      <c r="H898" s="235"/>
      <c r="I898" s="205"/>
      <c r="J898" s="205"/>
      <c r="K898" s="205"/>
      <c r="L898" s="205"/>
      <c r="M898" s="239"/>
      <c r="N898" s="235"/>
      <c r="O898" s="240"/>
      <c r="P898" s="238"/>
      <c r="Q898" s="240"/>
      <c r="R898" s="241"/>
      <c r="S898" s="240"/>
      <c r="T898" s="240"/>
      <c r="U898" s="66"/>
    </row>
    <row r="899" spans="2:21" x14ac:dyDescent="0.25">
      <c r="B899" s="66"/>
      <c r="C899" s="235"/>
      <c r="D899" s="236"/>
      <c r="E899" s="237"/>
      <c r="F899" s="238"/>
      <c r="G899" s="235"/>
      <c r="H899" s="235"/>
      <c r="I899" s="205"/>
      <c r="J899" s="205"/>
      <c r="K899" s="205"/>
      <c r="L899" s="205"/>
      <c r="M899" s="239"/>
      <c r="N899" s="235"/>
      <c r="O899" s="240"/>
      <c r="P899" s="238"/>
      <c r="Q899" s="240"/>
      <c r="R899" s="241"/>
      <c r="S899" s="240"/>
      <c r="T899" s="240"/>
      <c r="U899" s="66"/>
    </row>
    <row r="900" spans="2:21" x14ac:dyDescent="0.25">
      <c r="B900" s="66"/>
      <c r="C900" s="235"/>
      <c r="D900" s="236"/>
      <c r="E900" s="237"/>
      <c r="F900" s="238"/>
      <c r="G900" s="235"/>
      <c r="H900" s="235"/>
      <c r="I900" s="205"/>
      <c r="J900" s="205"/>
      <c r="K900" s="205"/>
      <c r="L900" s="205"/>
      <c r="M900" s="239"/>
      <c r="N900" s="235"/>
      <c r="O900" s="240"/>
      <c r="P900" s="238"/>
      <c r="Q900" s="240"/>
      <c r="R900" s="241"/>
      <c r="S900" s="240"/>
      <c r="T900" s="240"/>
      <c r="U900" s="66"/>
    </row>
    <row r="901" spans="2:21" x14ac:dyDescent="0.25">
      <c r="B901" s="66"/>
      <c r="C901" s="235"/>
      <c r="D901" s="236"/>
      <c r="E901" s="237"/>
      <c r="F901" s="238"/>
      <c r="G901" s="235"/>
      <c r="H901" s="235"/>
      <c r="I901" s="205"/>
      <c r="J901" s="205"/>
      <c r="K901" s="205"/>
      <c r="L901" s="205"/>
      <c r="M901" s="239"/>
      <c r="N901" s="235"/>
      <c r="O901" s="240"/>
      <c r="P901" s="238"/>
      <c r="Q901" s="240"/>
      <c r="R901" s="241"/>
      <c r="S901" s="240"/>
      <c r="T901" s="240"/>
      <c r="U901" s="66"/>
    </row>
    <row r="902" spans="2:21" x14ac:dyDescent="0.25">
      <c r="B902" s="66"/>
      <c r="C902" s="235"/>
      <c r="D902" s="236"/>
      <c r="E902" s="237"/>
      <c r="F902" s="238"/>
      <c r="G902" s="235"/>
      <c r="H902" s="235"/>
      <c r="I902" s="205"/>
      <c r="J902" s="205"/>
      <c r="K902" s="205"/>
      <c r="L902" s="205"/>
      <c r="M902" s="239"/>
      <c r="N902" s="235"/>
      <c r="O902" s="240"/>
      <c r="P902" s="238"/>
      <c r="Q902" s="240"/>
      <c r="R902" s="241"/>
      <c r="S902" s="240"/>
      <c r="T902" s="240"/>
      <c r="U902" s="66"/>
    </row>
    <row r="903" spans="2:21" x14ac:dyDescent="0.25">
      <c r="B903" s="66"/>
      <c r="C903" s="235"/>
      <c r="D903" s="236"/>
      <c r="E903" s="237"/>
      <c r="F903" s="238"/>
      <c r="G903" s="235"/>
      <c r="H903" s="235"/>
      <c r="I903" s="205"/>
      <c r="J903" s="205"/>
      <c r="K903" s="205"/>
      <c r="L903" s="205"/>
      <c r="M903" s="239"/>
      <c r="N903" s="235"/>
      <c r="O903" s="240"/>
      <c r="P903" s="238"/>
      <c r="Q903" s="240"/>
      <c r="R903" s="241"/>
      <c r="S903" s="240"/>
      <c r="T903" s="240"/>
      <c r="U903" s="66"/>
    </row>
    <row r="904" spans="2:21" x14ac:dyDescent="0.25">
      <c r="B904" s="66"/>
      <c r="C904" s="235"/>
      <c r="D904" s="236"/>
      <c r="E904" s="237"/>
      <c r="F904" s="238"/>
      <c r="G904" s="235"/>
      <c r="H904" s="235"/>
      <c r="I904" s="205"/>
      <c r="J904" s="205"/>
      <c r="K904" s="205"/>
      <c r="L904" s="205"/>
      <c r="M904" s="239"/>
      <c r="N904" s="235"/>
      <c r="O904" s="240"/>
      <c r="P904" s="238"/>
      <c r="Q904" s="240"/>
      <c r="R904" s="241"/>
      <c r="S904" s="240"/>
      <c r="T904" s="240"/>
      <c r="U904" s="66"/>
    </row>
    <row r="905" spans="2:21" x14ac:dyDescent="0.25">
      <c r="B905" s="66"/>
      <c r="C905" s="235"/>
      <c r="D905" s="236"/>
      <c r="E905" s="237"/>
      <c r="F905" s="238"/>
      <c r="G905" s="235"/>
      <c r="H905" s="235"/>
      <c r="I905" s="205"/>
      <c r="J905" s="205"/>
      <c r="K905" s="205"/>
      <c r="L905" s="205"/>
      <c r="M905" s="239"/>
      <c r="N905" s="235"/>
      <c r="O905" s="240"/>
      <c r="P905" s="238"/>
      <c r="Q905" s="240"/>
      <c r="R905" s="241"/>
      <c r="S905" s="240"/>
      <c r="T905" s="240"/>
      <c r="U905" s="66"/>
    </row>
    <row r="906" spans="2:21" x14ac:dyDescent="0.25">
      <c r="B906" s="66"/>
      <c r="C906" s="235"/>
      <c r="D906" s="236"/>
      <c r="E906" s="237"/>
      <c r="F906" s="238"/>
      <c r="G906" s="235"/>
      <c r="H906" s="235"/>
      <c r="I906" s="205"/>
      <c r="J906" s="205"/>
      <c r="K906" s="205"/>
      <c r="L906" s="205"/>
      <c r="M906" s="239"/>
      <c r="N906" s="235"/>
      <c r="O906" s="240"/>
      <c r="P906" s="238"/>
      <c r="Q906" s="240"/>
      <c r="R906" s="241"/>
      <c r="S906" s="240"/>
      <c r="T906" s="240"/>
      <c r="U906" s="66"/>
    </row>
    <row r="907" spans="2:21" x14ac:dyDescent="0.25">
      <c r="B907" s="66"/>
      <c r="C907" s="235"/>
      <c r="D907" s="236"/>
      <c r="E907" s="237"/>
      <c r="F907" s="238"/>
      <c r="G907" s="235"/>
      <c r="H907" s="235"/>
      <c r="I907" s="205"/>
      <c r="J907" s="205"/>
      <c r="K907" s="205"/>
      <c r="L907" s="205"/>
      <c r="M907" s="239"/>
      <c r="N907" s="235"/>
      <c r="O907" s="240"/>
      <c r="P907" s="238"/>
      <c r="Q907" s="240"/>
      <c r="R907" s="241"/>
      <c r="S907" s="240"/>
      <c r="T907" s="240"/>
      <c r="U907" s="66"/>
    </row>
    <row r="908" spans="2:21" x14ac:dyDescent="0.25">
      <c r="B908" s="66"/>
      <c r="C908" s="235"/>
      <c r="D908" s="236"/>
      <c r="E908" s="237"/>
      <c r="F908" s="238"/>
      <c r="G908" s="235"/>
      <c r="H908" s="235"/>
      <c r="I908" s="205"/>
      <c r="J908" s="205"/>
      <c r="K908" s="205"/>
      <c r="L908" s="205"/>
      <c r="M908" s="239"/>
      <c r="N908" s="235"/>
      <c r="O908" s="240"/>
      <c r="P908" s="238"/>
      <c r="Q908" s="240"/>
      <c r="R908" s="241"/>
      <c r="S908" s="240"/>
      <c r="T908" s="240"/>
      <c r="U908" s="66"/>
    </row>
    <row r="909" spans="2:21" x14ac:dyDescent="0.25">
      <c r="B909" s="66"/>
      <c r="C909" s="235"/>
      <c r="D909" s="236"/>
      <c r="E909" s="237"/>
      <c r="F909" s="238"/>
      <c r="G909" s="235"/>
      <c r="H909" s="235"/>
      <c r="I909" s="205"/>
      <c r="J909" s="205"/>
      <c r="K909" s="205"/>
      <c r="L909" s="205"/>
      <c r="M909" s="239"/>
      <c r="N909" s="235"/>
      <c r="O909" s="240"/>
      <c r="P909" s="238"/>
      <c r="Q909" s="240"/>
      <c r="R909" s="241"/>
      <c r="S909" s="240"/>
      <c r="T909" s="240"/>
      <c r="U909" s="66"/>
    </row>
    <row r="910" spans="2:21" x14ac:dyDescent="0.25">
      <c r="B910" s="66"/>
      <c r="C910" s="235"/>
      <c r="D910" s="236"/>
      <c r="E910" s="237"/>
      <c r="F910" s="238"/>
      <c r="G910" s="235"/>
      <c r="H910" s="235"/>
      <c r="I910" s="205"/>
      <c r="J910" s="205"/>
      <c r="K910" s="205"/>
      <c r="L910" s="205"/>
      <c r="M910" s="239"/>
      <c r="N910" s="235"/>
      <c r="O910" s="240"/>
      <c r="P910" s="238"/>
      <c r="Q910" s="240"/>
      <c r="R910" s="241"/>
      <c r="S910" s="240"/>
      <c r="T910" s="240"/>
      <c r="U910" s="66"/>
    </row>
    <row r="911" spans="2:21" x14ac:dyDescent="0.25">
      <c r="B911" s="66"/>
      <c r="C911" s="235"/>
      <c r="D911" s="236"/>
      <c r="E911" s="237"/>
      <c r="F911" s="238"/>
      <c r="G911" s="235"/>
      <c r="H911" s="235"/>
      <c r="I911" s="205"/>
      <c r="J911" s="205"/>
      <c r="K911" s="205"/>
      <c r="L911" s="205"/>
      <c r="M911" s="239"/>
      <c r="N911" s="235"/>
      <c r="O911" s="240"/>
      <c r="P911" s="238"/>
      <c r="Q911" s="240"/>
      <c r="R911" s="241"/>
      <c r="S911" s="240"/>
      <c r="T911" s="240"/>
      <c r="U911" s="66"/>
    </row>
    <row r="912" spans="2:21" x14ac:dyDescent="0.25">
      <c r="B912" s="66"/>
      <c r="C912" s="235"/>
      <c r="D912" s="236"/>
      <c r="E912" s="237"/>
      <c r="F912" s="238"/>
      <c r="G912" s="235"/>
      <c r="H912" s="235"/>
      <c r="I912" s="205"/>
      <c r="J912" s="205"/>
      <c r="K912" s="205"/>
      <c r="L912" s="205"/>
      <c r="M912" s="239"/>
      <c r="N912" s="235"/>
      <c r="O912" s="240"/>
      <c r="P912" s="238"/>
      <c r="Q912" s="240"/>
      <c r="R912" s="241"/>
      <c r="S912" s="240"/>
      <c r="T912" s="240"/>
      <c r="U912" s="66"/>
    </row>
    <row r="913" spans="2:21" x14ac:dyDescent="0.25">
      <c r="B913" s="66"/>
      <c r="C913" s="235"/>
      <c r="D913" s="236"/>
      <c r="E913" s="237"/>
      <c r="F913" s="238"/>
      <c r="G913" s="235"/>
      <c r="H913" s="235"/>
      <c r="I913" s="205"/>
      <c r="J913" s="205"/>
      <c r="K913" s="205"/>
      <c r="L913" s="205"/>
      <c r="M913" s="239"/>
      <c r="N913" s="235"/>
      <c r="O913" s="240"/>
      <c r="P913" s="238"/>
      <c r="Q913" s="240"/>
      <c r="R913" s="241"/>
      <c r="S913" s="240"/>
      <c r="T913" s="240"/>
      <c r="U913" s="66"/>
    </row>
    <row r="914" spans="2:21" x14ac:dyDescent="0.25">
      <c r="B914" s="66"/>
      <c r="C914" s="235"/>
      <c r="D914" s="236"/>
      <c r="E914" s="237"/>
      <c r="F914" s="238"/>
      <c r="G914" s="235"/>
      <c r="H914" s="235"/>
      <c r="I914" s="205"/>
      <c r="J914" s="205"/>
      <c r="K914" s="205"/>
      <c r="L914" s="205"/>
      <c r="M914" s="239"/>
      <c r="N914" s="235"/>
      <c r="O914" s="240"/>
      <c r="P914" s="238"/>
      <c r="Q914" s="240"/>
      <c r="R914" s="241"/>
      <c r="S914" s="240"/>
      <c r="T914" s="240"/>
      <c r="U914" s="66"/>
    </row>
    <row r="915" spans="2:21" x14ac:dyDescent="0.25">
      <c r="B915" s="66"/>
      <c r="C915" s="235"/>
      <c r="D915" s="236"/>
      <c r="E915" s="237"/>
      <c r="F915" s="238"/>
      <c r="G915" s="235"/>
      <c r="H915" s="235"/>
      <c r="I915" s="205"/>
      <c r="J915" s="205"/>
      <c r="K915" s="205"/>
      <c r="L915" s="205"/>
      <c r="M915" s="239"/>
      <c r="N915" s="235"/>
      <c r="O915" s="240"/>
      <c r="P915" s="238"/>
      <c r="Q915" s="240"/>
      <c r="R915" s="241"/>
      <c r="S915" s="240"/>
      <c r="T915" s="240"/>
      <c r="U915" s="66"/>
    </row>
    <row r="916" spans="2:21" x14ac:dyDescent="0.25">
      <c r="B916" s="66"/>
      <c r="C916" s="235"/>
      <c r="D916" s="236"/>
      <c r="E916" s="237"/>
      <c r="F916" s="238"/>
      <c r="G916" s="235"/>
      <c r="H916" s="235"/>
      <c r="I916" s="205"/>
      <c r="J916" s="205"/>
      <c r="K916" s="205"/>
      <c r="L916" s="205"/>
      <c r="M916" s="239"/>
      <c r="N916" s="235"/>
      <c r="O916" s="240"/>
      <c r="P916" s="238"/>
      <c r="Q916" s="240"/>
      <c r="R916" s="241"/>
      <c r="S916" s="240"/>
      <c r="T916" s="240"/>
      <c r="U916" s="66"/>
    </row>
    <row r="917" spans="2:21" x14ac:dyDescent="0.25">
      <c r="B917" s="66"/>
      <c r="C917" s="235"/>
      <c r="D917" s="236"/>
      <c r="E917" s="237"/>
      <c r="F917" s="238"/>
      <c r="G917" s="235"/>
      <c r="H917" s="235"/>
      <c r="I917" s="205"/>
      <c r="J917" s="205"/>
      <c r="K917" s="205"/>
      <c r="L917" s="205"/>
      <c r="M917" s="239"/>
      <c r="N917" s="235"/>
      <c r="O917" s="240"/>
      <c r="P917" s="238"/>
      <c r="Q917" s="240"/>
      <c r="R917" s="241"/>
      <c r="S917" s="240"/>
      <c r="T917" s="240"/>
      <c r="U917" s="66"/>
    </row>
    <row r="918" spans="2:21" x14ac:dyDescent="0.25">
      <c r="B918" s="66"/>
      <c r="C918" s="235"/>
      <c r="D918" s="236"/>
      <c r="E918" s="237"/>
      <c r="F918" s="238"/>
      <c r="G918" s="235"/>
      <c r="H918" s="235"/>
      <c r="I918" s="205"/>
      <c r="J918" s="205"/>
      <c r="K918" s="205"/>
      <c r="L918" s="205"/>
      <c r="M918" s="239"/>
      <c r="N918" s="235"/>
      <c r="O918" s="240"/>
      <c r="P918" s="238"/>
      <c r="Q918" s="240"/>
      <c r="R918" s="241"/>
      <c r="S918" s="240"/>
      <c r="T918" s="240"/>
      <c r="U918" s="66"/>
    </row>
    <row r="919" spans="2:21" x14ac:dyDescent="0.25">
      <c r="B919" s="66"/>
      <c r="C919" s="235"/>
      <c r="D919" s="236"/>
      <c r="E919" s="237"/>
      <c r="F919" s="238"/>
      <c r="G919" s="235"/>
      <c r="H919" s="235"/>
      <c r="I919" s="205"/>
      <c r="J919" s="205"/>
      <c r="K919" s="205"/>
      <c r="L919" s="205"/>
      <c r="M919" s="239"/>
      <c r="N919" s="235"/>
      <c r="O919" s="240"/>
      <c r="P919" s="238"/>
      <c r="Q919" s="240"/>
      <c r="R919" s="241"/>
      <c r="S919" s="240"/>
      <c r="T919" s="240"/>
      <c r="U919" s="66"/>
    </row>
    <row r="920" spans="2:21" x14ac:dyDescent="0.25">
      <c r="B920" s="66"/>
      <c r="C920" s="235"/>
      <c r="D920" s="236"/>
      <c r="E920" s="237"/>
      <c r="F920" s="238"/>
      <c r="G920" s="235"/>
      <c r="H920" s="235"/>
      <c r="I920" s="205"/>
      <c r="J920" s="205"/>
      <c r="K920" s="205"/>
      <c r="L920" s="205"/>
      <c r="M920" s="239"/>
      <c r="N920" s="235"/>
      <c r="O920" s="240"/>
      <c r="P920" s="238"/>
      <c r="Q920" s="240"/>
      <c r="R920" s="241"/>
      <c r="S920" s="240"/>
      <c r="T920" s="240"/>
      <c r="U920" s="66"/>
    </row>
    <row r="921" spans="2:21" x14ac:dyDescent="0.25">
      <c r="B921" s="66"/>
      <c r="C921" s="235"/>
      <c r="D921" s="236"/>
      <c r="E921" s="237"/>
      <c r="F921" s="238"/>
      <c r="G921" s="235"/>
      <c r="H921" s="235"/>
      <c r="I921" s="205"/>
      <c r="J921" s="205"/>
      <c r="K921" s="205"/>
      <c r="L921" s="205"/>
      <c r="M921" s="239"/>
      <c r="N921" s="235"/>
      <c r="O921" s="240"/>
      <c r="P921" s="238"/>
      <c r="Q921" s="240"/>
      <c r="R921" s="241"/>
      <c r="S921" s="240"/>
      <c r="T921" s="240"/>
      <c r="U921" s="66"/>
    </row>
    <row r="922" spans="2:21" x14ac:dyDescent="0.25">
      <c r="B922" s="66"/>
      <c r="C922" s="235"/>
      <c r="D922" s="236"/>
      <c r="E922" s="237"/>
      <c r="F922" s="238"/>
      <c r="G922" s="235"/>
      <c r="H922" s="235"/>
      <c r="I922" s="205"/>
      <c r="J922" s="205"/>
      <c r="K922" s="205"/>
      <c r="L922" s="205"/>
      <c r="M922" s="239"/>
      <c r="N922" s="235"/>
      <c r="O922" s="240"/>
      <c r="P922" s="238"/>
      <c r="Q922" s="240"/>
      <c r="R922" s="241"/>
      <c r="S922" s="240"/>
      <c r="T922" s="240"/>
      <c r="U922" s="66"/>
    </row>
    <row r="923" spans="2:21" x14ac:dyDescent="0.25">
      <c r="B923" s="66"/>
      <c r="C923" s="235"/>
      <c r="D923" s="236"/>
      <c r="E923" s="237"/>
      <c r="F923" s="238"/>
      <c r="G923" s="235"/>
      <c r="H923" s="235"/>
      <c r="I923" s="205"/>
      <c r="J923" s="205"/>
      <c r="K923" s="205"/>
      <c r="L923" s="205"/>
      <c r="M923" s="239"/>
      <c r="N923" s="235"/>
      <c r="O923" s="240"/>
      <c r="P923" s="238"/>
      <c r="Q923" s="240"/>
      <c r="R923" s="241"/>
      <c r="S923" s="240"/>
      <c r="T923" s="240"/>
      <c r="U923" s="66"/>
    </row>
    <row r="924" spans="2:21" x14ac:dyDescent="0.25">
      <c r="B924" s="66"/>
      <c r="C924" s="235"/>
      <c r="D924" s="236"/>
      <c r="E924" s="237"/>
      <c r="F924" s="238"/>
      <c r="G924" s="235"/>
      <c r="H924" s="235"/>
      <c r="I924" s="205"/>
      <c r="J924" s="205"/>
      <c r="K924" s="205"/>
      <c r="L924" s="205"/>
      <c r="M924" s="239"/>
      <c r="N924" s="235"/>
      <c r="O924" s="240"/>
      <c r="P924" s="238"/>
      <c r="Q924" s="240"/>
      <c r="R924" s="241"/>
      <c r="S924" s="240"/>
      <c r="T924" s="240"/>
      <c r="U924" s="66"/>
    </row>
    <row r="925" spans="2:21" x14ac:dyDescent="0.25">
      <c r="B925" s="66"/>
      <c r="C925" s="235"/>
      <c r="D925" s="236"/>
      <c r="E925" s="237"/>
      <c r="F925" s="238"/>
      <c r="G925" s="235"/>
      <c r="H925" s="235"/>
      <c r="I925" s="205"/>
      <c r="J925" s="205"/>
      <c r="K925" s="205"/>
      <c r="L925" s="205"/>
      <c r="M925" s="239"/>
      <c r="N925" s="235"/>
      <c r="O925" s="240"/>
      <c r="P925" s="238"/>
      <c r="Q925" s="240"/>
      <c r="R925" s="241"/>
      <c r="S925" s="240"/>
      <c r="T925" s="240"/>
      <c r="U925" s="66"/>
    </row>
    <row r="926" spans="2:21" x14ac:dyDescent="0.25">
      <c r="B926" s="66"/>
      <c r="C926" s="235"/>
      <c r="D926" s="236"/>
      <c r="E926" s="237"/>
      <c r="F926" s="238"/>
      <c r="G926" s="235"/>
      <c r="H926" s="235"/>
      <c r="I926" s="205"/>
      <c r="J926" s="205"/>
      <c r="K926" s="205"/>
      <c r="L926" s="205"/>
      <c r="M926" s="239"/>
      <c r="N926" s="235"/>
      <c r="O926" s="240"/>
      <c r="P926" s="238"/>
      <c r="Q926" s="240"/>
      <c r="R926" s="241"/>
      <c r="S926" s="240"/>
      <c r="T926" s="240"/>
      <c r="U926" s="66"/>
    </row>
    <row r="927" spans="2:21" x14ac:dyDescent="0.25">
      <c r="B927" s="66"/>
      <c r="C927" s="235"/>
      <c r="D927" s="236"/>
      <c r="E927" s="237"/>
      <c r="F927" s="238"/>
      <c r="G927" s="235"/>
      <c r="H927" s="235"/>
      <c r="I927" s="205"/>
      <c r="J927" s="205"/>
      <c r="K927" s="205"/>
      <c r="L927" s="205"/>
      <c r="M927" s="239"/>
      <c r="N927" s="235"/>
      <c r="O927" s="240"/>
      <c r="P927" s="238"/>
      <c r="Q927" s="240"/>
      <c r="R927" s="241"/>
      <c r="S927" s="240"/>
      <c r="T927" s="240"/>
      <c r="U927" s="66"/>
    </row>
    <row r="928" spans="2:21" x14ac:dyDescent="0.25">
      <c r="B928" s="66"/>
      <c r="C928" s="235"/>
      <c r="D928" s="236"/>
      <c r="E928" s="237"/>
      <c r="F928" s="238"/>
      <c r="G928" s="235"/>
      <c r="H928" s="235"/>
      <c r="I928" s="205"/>
      <c r="J928" s="205"/>
      <c r="K928" s="205"/>
      <c r="L928" s="205"/>
      <c r="M928" s="239"/>
      <c r="N928" s="235"/>
      <c r="O928" s="240"/>
      <c r="P928" s="238"/>
      <c r="Q928" s="240"/>
      <c r="R928" s="241"/>
      <c r="S928" s="240"/>
      <c r="T928" s="240"/>
      <c r="U928" s="66"/>
    </row>
    <row r="929" spans="2:21" x14ac:dyDescent="0.25">
      <c r="B929" s="66"/>
      <c r="C929" s="235"/>
      <c r="D929" s="236"/>
      <c r="E929" s="237"/>
      <c r="F929" s="238"/>
      <c r="G929" s="235"/>
      <c r="H929" s="235"/>
      <c r="I929" s="205"/>
      <c r="J929" s="205"/>
      <c r="K929" s="205"/>
      <c r="L929" s="205"/>
      <c r="M929" s="239"/>
      <c r="N929" s="235"/>
      <c r="O929" s="240"/>
      <c r="P929" s="238"/>
      <c r="Q929" s="240"/>
      <c r="R929" s="241"/>
      <c r="S929" s="240"/>
      <c r="T929" s="240"/>
      <c r="U929" s="66"/>
    </row>
    <row r="930" spans="2:21" x14ac:dyDescent="0.25">
      <c r="B930" s="66"/>
      <c r="C930" s="235"/>
      <c r="D930" s="236"/>
      <c r="E930" s="237"/>
      <c r="F930" s="238"/>
      <c r="G930" s="235"/>
      <c r="H930" s="235"/>
      <c r="I930" s="205"/>
      <c r="J930" s="205"/>
      <c r="K930" s="205"/>
      <c r="L930" s="205"/>
      <c r="M930" s="239"/>
      <c r="N930" s="235"/>
      <c r="O930" s="240"/>
      <c r="P930" s="238"/>
      <c r="Q930" s="240"/>
      <c r="R930" s="241"/>
      <c r="S930" s="240"/>
      <c r="T930" s="240"/>
      <c r="U930" s="66"/>
    </row>
    <row r="931" spans="2:21" x14ac:dyDescent="0.25">
      <c r="B931" s="66"/>
      <c r="C931" s="235"/>
      <c r="D931" s="236"/>
      <c r="E931" s="237"/>
      <c r="F931" s="238"/>
      <c r="G931" s="235"/>
      <c r="H931" s="235"/>
      <c r="I931" s="205"/>
      <c r="J931" s="205"/>
      <c r="K931" s="205"/>
      <c r="L931" s="205"/>
      <c r="M931" s="239"/>
      <c r="N931" s="235"/>
      <c r="O931" s="240"/>
      <c r="P931" s="238"/>
      <c r="Q931" s="240"/>
      <c r="R931" s="241"/>
      <c r="S931" s="240"/>
      <c r="T931" s="240"/>
      <c r="U931" s="66"/>
    </row>
    <row r="932" spans="2:21" x14ac:dyDescent="0.25">
      <c r="B932" s="66"/>
      <c r="C932" s="235"/>
      <c r="D932" s="236"/>
      <c r="E932" s="237"/>
      <c r="F932" s="238"/>
      <c r="G932" s="235"/>
      <c r="H932" s="235"/>
      <c r="I932" s="205"/>
      <c r="J932" s="205"/>
      <c r="K932" s="205"/>
      <c r="L932" s="205"/>
      <c r="M932" s="239"/>
      <c r="N932" s="235"/>
      <c r="O932" s="240"/>
      <c r="P932" s="238"/>
      <c r="Q932" s="240"/>
      <c r="R932" s="241"/>
      <c r="S932" s="240"/>
      <c r="T932" s="240"/>
      <c r="U932" s="66"/>
    </row>
    <row r="933" spans="2:21" x14ac:dyDescent="0.25">
      <c r="B933" s="66"/>
      <c r="C933" s="235"/>
      <c r="D933" s="236"/>
      <c r="E933" s="237"/>
      <c r="F933" s="238"/>
      <c r="G933" s="235"/>
      <c r="H933" s="235"/>
      <c r="I933" s="205"/>
      <c r="J933" s="205"/>
      <c r="K933" s="205"/>
      <c r="L933" s="205"/>
      <c r="M933" s="239"/>
      <c r="N933" s="235"/>
      <c r="O933" s="240"/>
      <c r="P933" s="238"/>
      <c r="Q933" s="240"/>
      <c r="R933" s="241"/>
      <c r="S933" s="240"/>
      <c r="T933" s="240"/>
      <c r="U933" s="66"/>
    </row>
    <row r="934" spans="2:21" x14ac:dyDescent="0.25">
      <c r="B934" s="66"/>
      <c r="C934" s="235"/>
      <c r="D934" s="236"/>
      <c r="E934" s="237"/>
      <c r="F934" s="238"/>
      <c r="G934" s="235"/>
      <c r="H934" s="235"/>
      <c r="I934" s="205"/>
      <c r="J934" s="205"/>
      <c r="K934" s="205"/>
      <c r="L934" s="205"/>
      <c r="M934" s="239"/>
      <c r="N934" s="235"/>
      <c r="O934" s="240"/>
      <c r="P934" s="238"/>
      <c r="Q934" s="240"/>
      <c r="R934" s="241"/>
      <c r="S934" s="240"/>
      <c r="T934" s="240"/>
      <c r="U934" s="66"/>
    </row>
    <row r="935" spans="2:21" x14ac:dyDescent="0.25">
      <c r="B935" s="66"/>
      <c r="C935" s="235"/>
      <c r="D935" s="236"/>
      <c r="E935" s="237"/>
      <c r="F935" s="238"/>
      <c r="G935" s="235"/>
      <c r="H935" s="235"/>
      <c r="I935" s="205"/>
      <c r="J935" s="205"/>
      <c r="K935" s="205"/>
      <c r="L935" s="205"/>
      <c r="M935" s="239"/>
      <c r="N935" s="235"/>
      <c r="O935" s="240"/>
      <c r="P935" s="238"/>
      <c r="Q935" s="240"/>
      <c r="R935" s="241"/>
      <c r="S935" s="240"/>
      <c r="T935" s="240"/>
      <c r="U935" s="66"/>
    </row>
    <row r="936" spans="2:21" x14ac:dyDescent="0.25">
      <c r="B936" s="66"/>
      <c r="C936" s="235"/>
      <c r="D936" s="236"/>
      <c r="E936" s="237"/>
      <c r="F936" s="238"/>
      <c r="G936" s="235"/>
      <c r="H936" s="235"/>
      <c r="I936" s="205"/>
      <c r="J936" s="205"/>
      <c r="K936" s="205"/>
      <c r="L936" s="205"/>
      <c r="M936" s="239"/>
      <c r="N936" s="235"/>
      <c r="O936" s="240"/>
      <c r="P936" s="238"/>
      <c r="Q936" s="240"/>
      <c r="R936" s="241"/>
      <c r="S936" s="240"/>
      <c r="T936" s="240"/>
      <c r="U936" s="66"/>
    </row>
    <row r="937" spans="2:21" x14ac:dyDescent="0.25">
      <c r="B937" s="66"/>
      <c r="C937" s="235"/>
      <c r="D937" s="236"/>
      <c r="E937" s="237"/>
      <c r="F937" s="238"/>
      <c r="G937" s="235"/>
      <c r="H937" s="235"/>
      <c r="I937" s="205"/>
      <c r="J937" s="205"/>
      <c r="K937" s="205"/>
      <c r="L937" s="205"/>
      <c r="M937" s="239"/>
      <c r="N937" s="235"/>
      <c r="O937" s="240"/>
      <c r="P937" s="238"/>
      <c r="Q937" s="240"/>
      <c r="R937" s="241"/>
      <c r="S937" s="240"/>
      <c r="T937" s="240"/>
      <c r="U937" s="66"/>
    </row>
    <row r="938" spans="2:21" x14ac:dyDescent="0.25">
      <c r="B938" s="66"/>
      <c r="C938" s="235"/>
      <c r="D938" s="236"/>
      <c r="E938" s="237"/>
      <c r="F938" s="238"/>
      <c r="G938" s="235"/>
      <c r="H938" s="235"/>
      <c r="I938" s="205"/>
      <c r="J938" s="205"/>
      <c r="K938" s="205"/>
      <c r="L938" s="205"/>
      <c r="M938" s="239"/>
      <c r="N938" s="235"/>
      <c r="O938" s="240"/>
      <c r="P938" s="238"/>
      <c r="Q938" s="240"/>
      <c r="R938" s="241"/>
      <c r="S938" s="240"/>
      <c r="T938" s="240"/>
      <c r="U938" s="66"/>
    </row>
    <row r="939" spans="2:21" x14ac:dyDescent="0.25">
      <c r="B939" s="66"/>
      <c r="C939" s="235"/>
      <c r="D939" s="236"/>
      <c r="E939" s="237"/>
      <c r="F939" s="238"/>
      <c r="G939" s="235"/>
      <c r="H939" s="235"/>
      <c r="I939" s="205"/>
      <c r="J939" s="205"/>
      <c r="K939" s="205"/>
      <c r="L939" s="205"/>
      <c r="M939" s="239"/>
      <c r="N939" s="235"/>
      <c r="O939" s="240"/>
      <c r="P939" s="238"/>
      <c r="Q939" s="240"/>
      <c r="R939" s="241"/>
      <c r="S939" s="240"/>
      <c r="T939" s="240"/>
      <c r="U939" s="66"/>
    </row>
    <row r="940" spans="2:21" x14ac:dyDescent="0.25">
      <c r="B940" s="66"/>
      <c r="C940" s="235"/>
      <c r="D940" s="236"/>
      <c r="E940" s="237"/>
      <c r="F940" s="238"/>
      <c r="G940" s="235"/>
      <c r="H940" s="235"/>
      <c r="I940" s="205"/>
      <c r="J940" s="205"/>
      <c r="K940" s="205"/>
      <c r="L940" s="205"/>
      <c r="M940" s="239"/>
      <c r="N940" s="235"/>
      <c r="O940" s="240"/>
      <c r="P940" s="238"/>
      <c r="Q940" s="240"/>
      <c r="R940" s="241"/>
      <c r="S940" s="240"/>
      <c r="T940" s="240"/>
      <c r="U940" s="66"/>
    </row>
    <row r="941" spans="2:21" x14ac:dyDescent="0.25">
      <c r="B941" s="66"/>
      <c r="C941" s="235"/>
      <c r="D941" s="236"/>
      <c r="E941" s="237"/>
      <c r="F941" s="238"/>
      <c r="G941" s="235"/>
      <c r="H941" s="235"/>
      <c r="I941" s="205"/>
      <c r="J941" s="205"/>
      <c r="K941" s="205"/>
      <c r="L941" s="205"/>
      <c r="M941" s="239"/>
      <c r="N941" s="235"/>
      <c r="O941" s="240"/>
      <c r="P941" s="238"/>
      <c r="Q941" s="240"/>
      <c r="R941" s="241"/>
      <c r="S941" s="240"/>
      <c r="T941" s="240"/>
      <c r="U941" s="66"/>
    </row>
    <row r="942" spans="2:21" x14ac:dyDescent="0.25">
      <c r="B942" s="66"/>
      <c r="C942" s="235"/>
      <c r="D942" s="236"/>
      <c r="E942" s="237"/>
      <c r="F942" s="238"/>
      <c r="G942" s="235"/>
      <c r="H942" s="235"/>
      <c r="I942" s="205"/>
      <c r="J942" s="205"/>
      <c r="K942" s="205"/>
      <c r="L942" s="205"/>
      <c r="M942" s="239"/>
      <c r="N942" s="235"/>
      <c r="O942" s="240"/>
      <c r="P942" s="238"/>
      <c r="Q942" s="240"/>
      <c r="R942" s="241"/>
      <c r="S942" s="240"/>
      <c r="T942" s="240"/>
      <c r="U942" s="66"/>
    </row>
    <row r="943" spans="2:21" x14ac:dyDescent="0.25">
      <c r="B943" s="66"/>
      <c r="C943" s="235"/>
      <c r="D943" s="236"/>
      <c r="E943" s="237"/>
      <c r="F943" s="238"/>
      <c r="G943" s="235"/>
      <c r="H943" s="235"/>
      <c r="I943" s="205"/>
      <c r="J943" s="205"/>
      <c r="K943" s="205"/>
      <c r="L943" s="205"/>
      <c r="M943" s="239"/>
      <c r="N943" s="235"/>
      <c r="O943" s="240"/>
      <c r="P943" s="238"/>
      <c r="Q943" s="240"/>
      <c r="R943" s="241"/>
      <c r="S943" s="240"/>
      <c r="T943" s="240"/>
      <c r="U943" s="66"/>
    </row>
    <row r="944" spans="2:21" x14ac:dyDescent="0.25">
      <c r="B944" s="66"/>
      <c r="C944" s="235"/>
      <c r="D944" s="236"/>
      <c r="E944" s="237"/>
      <c r="F944" s="238"/>
      <c r="G944" s="235"/>
      <c r="H944" s="235"/>
      <c r="I944" s="205"/>
      <c r="J944" s="205"/>
      <c r="K944" s="205"/>
      <c r="L944" s="205"/>
      <c r="M944" s="239"/>
      <c r="N944" s="235"/>
      <c r="O944" s="240"/>
      <c r="P944" s="238"/>
      <c r="Q944" s="240"/>
      <c r="R944" s="241"/>
      <c r="S944" s="240"/>
      <c r="T944" s="240"/>
      <c r="U944" s="66"/>
    </row>
    <row r="945" spans="2:21" x14ac:dyDescent="0.25">
      <c r="B945" s="66"/>
      <c r="C945" s="235"/>
      <c r="D945" s="236"/>
      <c r="E945" s="237"/>
      <c r="F945" s="238"/>
      <c r="G945" s="235"/>
      <c r="H945" s="235"/>
      <c r="I945" s="205"/>
      <c r="J945" s="205"/>
      <c r="K945" s="205"/>
      <c r="L945" s="205"/>
      <c r="M945" s="239"/>
      <c r="N945" s="235"/>
      <c r="O945" s="240"/>
      <c r="P945" s="238"/>
      <c r="Q945" s="240"/>
      <c r="R945" s="241"/>
      <c r="S945" s="240"/>
      <c r="T945" s="240"/>
      <c r="U945" s="66"/>
    </row>
    <row r="946" spans="2:21" x14ac:dyDescent="0.25">
      <c r="B946" s="66"/>
      <c r="C946" s="235"/>
      <c r="D946" s="236"/>
      <c r="E946" s="237"/>
      <c r="F946" s="238"/>
      <c r="G946" s="235"/>
      <c r="H946" s="235"/>
      <c r="I946" s="205"/>
      <c r="J946" s="205"/>
      <c r="K946" s="205"/>
      <c r="L946" s="205"/>
      <c r="M946" s="239"/>
      <c r="N946" s="235"/>
      <c r="O946" s="240"/>
      <c r="P946" s="238"/>
      <c r="Q946" s="240"/>
      <c r="R946" s="241"/>
      <c r="S946" s="240"/>
      <c r="T946" s="240"/>
      <c r="U946" s="66"/>
    </row>
    <row r="947" spans="2:21" x14ac:dyDescent="0.25">
      <c r="B947" s="66"/>
      <c r="C947" s="235"/>
      <c r="D947" s="236"/>
      <c r="E947" s="237"/>
      <c r="F947" s="238"/>
      <c r="G947" s="235"/>
      <c r="H947" s="235"/>
      <c r="I947" s="205"/>
      <c r="J947" s="205"/>
      <c r="K947" s="205"/>
      <c r="L947" s="205"/>
      <c r="M947" s="239"/>
      <c r="N947" s="235"/>
      <c r="O947" s="240"/>
      <c r="P947" s="238"/>
      <c r="Q947" s="240"/>
      <c r="R947" s="241"/>
      <c r="S947" s="240"/>
      <c r="T947" s="240"/>
      <c r="U947" s="66"/>
    </row>
    <row r="948" spans="2:21" x14ac:dyDescent="0.25">
      <c r="B948" s="66"/>
      <c r="C948" s="235"/>
      <c r="D948" s="236"/>
      <c r="E948" s="237"/>
      <c r="F948" s="238"/>
      <c r="G948" s="235"/>
      <c r="H948" s="235"/>
      <c r="I948" s="205"/>
      <c r="J948" s="205"/>
      <c r="K948" s="205"/>
      <c r="L948" s="205"/>
      <c r="M948" s="239"/>
      <c r="N948" s="235"/>
      <c r="O948" s="240"/>
      <c r="P948" s="238"/>
      <c r="Q948" s="240"/>
      <c r="R948" s="241"/>
      <c r="S948" s="240"/>
      <c r="T948" s="240"/>
      <c r="U948" s="66"/>
    </row>
    <row r="949" spans="2:21" x14ac:dyDescent="0.25">
      <c r="B949" s="66"/>
      <c r="C949" s="235"/>
      <c r="D949" s="236"/>
      <c r="E949" s="237"/>
      <c r="F949" s="238"/>
      <c r="G949" s="235"/>
      <c r="H949" s="235"/>
      <c r="I949" s="205"/>
      <c r="J949" s="205"/>
      <c r="K949" s="205"/>
      <c r="L949" s="205"/>
      <c r="M949" s="239"/>
      <c r="N949" s="235"/>
      <c r="O949" s="240"/>
      <c r="P949" s="238"/>
      <c r="Q949" s="240"/>
      <c r="R949" s="241"/>
      <c r="S949" s="240"/>
      <c r="T949" s="240"/>
      <c r="U949" s="66"/>
    </row>
    <row r="950" spans="2:21" x14ac:dyDescent="0.25">
      <c r="B950" s="66"/>
      <c r="C950" s="235"/>
      <c r="D950" s="236"/>
      <c r="E950" s="237"/>
      <c r="F950" s="238"/>
      <c r="G950" s="235"/>
      <c r="H950" s="235"/>
      <c r="I950" s="205"/>
      <c r="J950" s="205"/>
      <c r="K950" s="205"/>
      <c r="L950" s="205"/>
      <c r="M950" s="239"/>
      <c r="N950" s="235"/>
      <c r="O950" s="240"/>
      <c r="P950" s="238"/>
      <c r="Q950" s="240"/>
      <c r="R950" s="241"/>
      <c r="S950" s="240"/>
      <c r="T950" s="240"/>
      <c r="U950" s="66"/>
    </row>
    <row r="951" spans="2:21" x14ac:dyDescent="0.25">
      <c r="B951" s="66"/>
      <c r="C951" s="235"/>
      <c r="D951" s="236"/>
      <c r="E951" s="237"/>
      <c r="F951" s="238"/>
      <c r="G951" s="235"/>
      <c r="H951" s="235"/>
      <c r="I951" s="205"/>
      <c r="J951" s="205"/>
      <c r="K951" s="205"/>
      <c r="L951" s="205"/>
      <c r="M951" s="239"/>
      <c r="N951" s="235"/>
      <c r="O951" s="240"/>
      <c r="P951" s="238"/>
      <c r="Q951" s="240"/>
      <c r="R951" s="241"/>
      <c r="S951" s="240"/>
      <c r="T951" s="240"/>
      <c r="U951" s="66"/>
    </row>
    <row r="952" spans="2:21" x14ac:dyDescent="0.25">
      <c r="B952" s="66"/>
      <c r="C952" s="235"/>
      <c r="D952" s="236"/>
      <c r="E952" s="237"/>
      <c r="F952" s="238"/>
      <c r="G952" s="235"/>
      <c r="H952" s="235"/>
      <c r="I952" s="205"/>
      <c r="J952" s="205"/>
      <c r="K952" s="205"/>
      <c r="L952" s="205"/>
      <c r="M952" s="239"/>
      <c r="N952" s="235"/>
      <c r="O952" s="240"/>
      <c r="P952" s="238"/>
      <c r="Q952" s="240"/>
      <c r="R952" s="241"/>
      <c r="S952" s="240"/>
      <c r="T952" s="240"/>
      <c r="U952" s="66"/>
    </row>
    <row r="953" spans="2:21" x14ac:dyDescent="0.25">
      <c r="B953" s="66"/>
      <c r="C953" s="235"/>
      <c r="D953" s="236"/>
      <c r="E953" s="237"/>
      <c r="F953" s="238"/>
      <c r="G953" s="235"/>
      <c r="H953" s="235"/>
      <c r="I953" s="205"/>
      <c r="J953" s="205"/>
      <c r="K953" s="205"/>
      <c r="L953" s="205"/>
      <c r="M953" s="239"/>
      <c r="N953" s="235"/>
      <c r="O953" s="240"/>
      <c r="P953" s="238"/>
      <c r="Q953" s="240"/>
      <c r="R953" s="241"/>
      <c r="S953" s="240"/>
      <c r="T953" s="240"/>
      <c r="U953" s="66"/>
    </row>
    <row r="954" spans="2:21" x14ac:dyDescent="0.25">
      <c r="B954" s="66"/>
      <c r="C954" s="235"/>
      <c r="D954" s="236"/>
      <c r="E954" s="237"/>
      <c r="F954" s="238"/>
      <c r="G954" s="235"/>
      <c r="H954" s="235"/>
      <c r="I954" s="205"/>
      <c r="J954" s="205"/>
      <c r="K954" s="205"/>
      <c r="L954" s="205"/>
      <c r="M954" s="239"/>
      <c r="N954" s="235"/>
      <c r="O954" s="240"/>
      <c r="P954" s="238"/>
      <c r="Q954" s="240"/>
      <c r="R954" s="241"/>
      <c r="S954" s="240"/>
      <c r="T954" s="240"/>
      <c r="U954" s="66"/>
    </row>
    <row r="955" spans="2:21" x14ac:dyDescent="0.25">
      <c r="B955" s="66"/>
      <c r="C955" s="235"/>
      <c r="D955" s="236"/>
      <c r="E955" s="237"/>
      <c r="F955" s="238"/>
      <c r="G955" s="235"/>
      <c r="H955" s="235"/>
      <c r="I955" s="205"/>
      <c r="J955" s="205"/>
      <c r="K955" s="205"/>
      <c r="L955" s="205"/>
      <c r="M955" s="239"/>
      <c r="N955" s="235"/>
      <c r="O955" s="240"/>
      <c r="P955" s="238"/>
      <c r="Q955" s="240"/>
      <c r="R955" s="241"/>
      <c r="S955" s="240"/>
      <c r="T955" s="240"/>
      <c r="U955" s="66"/>
    </row>
    <row r="956" spans="2:21" x14ac:dyDescent="0.25">
      <c r="B956" s="66"/>
      <c r="C956" s="235"/>
      <c r="D956" s="236"/>
      <c r="E956" s="237"/>
      <c r="F956" s="238"/>
      <c r="G956" s="235"/>
      <c r="H956" s="235"/>
      <c r="I956" s="205"/>
      <c r="J956" s="205"/>
      <c r="K956" s="205"/>
      <c r="L956" s="205"/>
      <c r="M956" s="239"/>
      <c r="N956" s="235"/>
      <c r="O956" s="240"/>
      <c r="P956" s="238"/>
      <c r="Q956" s="240"/>
      <c r="R956" s="241"/>
      <c r="S956" s="240"/>
      <c r="T956" s="240"/>
      <c r="U956" s="66"/>
    </row>
    <row r="957" spans="2:21" x14ac:dyDescent="0.25">
      <c r="B957" s="66"/>
      <c r="C957" s="235"/>
      <c r="D957" s="236"/>
      <c r="E957" s="237"/>
      <c r="F957" s="238"/>
      <c r="G957" s="235"/>
      <c r="H957" s="235"/>
      <c r="I957" s="205"/>
      <c r="J957" s="205"/>
      <c r="K957" s="205"/>
      <c r="L957" s="205"/>
      <c r="M957" s="239"/>
      <c r="N957" s="235"/>
      <c r="O957" s="240"/>
      <c r="P957" s="238"/>
      <c r="Q957" s="240"/>
      <c r="R957" s="241"/>
      <c r="S957" s="240"/>
      <c r="T957" s="240"/>
      <c r="U957" s="66"/>
    </row>
    <row r="958" spans="2:21" x14ac:dyDescent="0.25">
      <c r="B958" s="66"/>
      <c r="C958" s="235"/>
      <c r="D958" s="236"/>
      <c r="E958" s="237"/>
      <c r="F958" s="238"/>
      <c r="G958" s="235"/>
      <c r="H958" s="235"/>
      <c r="I958" s="205"/>
      <c r="J958" s="205"/>
      <c r="K958" s="205"/>
      <c r="L958" s="205"/>
      <c r="M958" s="239"/>
      <c r="N958" s="235"/>
      <c r="O958" s="240"/>
      <c r="P958" s="238"/>
      <c r="Q958" s="240"/>
      <c r="R958" s="241"/>
      <c r="S958" s="240"/>
      <c r="T958" s="240"/>
      <c r="U958" s="66"/>
    </row>
    <row r="959" spans="2:21" x14ac:dyDescent="0.25">
      <c r="B959" s="66"/>
      <c r="C959" s="235"/>
      <c r="D959" s="236"/>
      <c r="E959" s="237"/>
      <c r="F959" s="238"/>
      <c r="G959" s="235"/>
      <c r="H959" s="235"/>
      <c r="I959" s="205"/>
      <c r="J959" s="205"/>
      <c r="K959" s="205"/>
      <c r="L959" s="205"/>
      <c r="M959" s="239"/>
      <c r="N959" s="235"/>
      <c r="O959" s="240"/>
      <c r="P959" s="238"/>
      <c r="Q959" s="240"/>
      <c r="R959" s="241"/>
      <c r="S959" s="240"/>
      <c r="T959" s="240"/>
      <c r="U959" s="66"/>
    </row>
    <row r="960" spans="2:21" x14ac:dyDescent="0.25">
      <c r="B960" s="66"/>
      <c r="C960" s="235"/>
      <c r="D960" s="236"/>
      <c r="E960" s="237"/>
      <c r="F960" s="238"/>
      <c r="G960" s="235"/>
      <c r="H960" s="235"/>
      <c r="I960" s="205"/>
      <c r="J960" s="205"/>
      <c r="K960" s="205"/>
      <c r="L960" s="205"/>
      <c r="M960" s="239"/>
      <c r="N960" s="235"/>
      <c r="O960" s="240"/>
      <c r="P960" s="238"/>
      <c r="Q960" s="240"/>
      <c r="R960" s="241"/>
      <c r="S960" s="240"/>
      <c r="T960" s="240"/>
      <c r="U960" s="66"/>
    </row>
    <row r="961" spans="2:21" x14ac:dyDescent="0.25">
      <c r="B961" s="66"/>
      <c r="C961" s="235"/>
      <c r="D961" s="236"/>
      <c r="E961" s="237"/>
      <c r="F961" s="238"/>
      <c r="G961" s="235"/>
      <c r="H961" s="235"/>
      <c r="I961" s="205"/>
      <c r="J961" s="205"/>
      <c r="K961" s="205"/>
      <c r="L961" s="205"/>
      <c r="M961" s="239"/>
      <c r="N961" s="235"/>
      <c r="O961" s="240"/>
      <c r="P961" s="238"/>
      <c r="Q961" s="240"/>
      <c r="R961" s="241"/>
      <c r="S961" s="240"/>
      <c r="T961" s="240"/>
      <c r="U961" s="66"/>
    </row>
    <row r="962" spans="2:21" x14ac:dyDescent="0.25">
      <c r="B962" s="66"/>
      <c r="C962" s="235"/>
      <c r="D962" s="236"/>
      <c r="E962" s="237"/>
      <c r="F962" s="238"/>
      <c r="G962" s="235"/>
      <c r="H962" s="235"/>
      <c r="I962" s="205"/>
      <c r="J962" s="205"/>
      <c r="K962" s="205"/>
      <c r="L962" s="205"/>
      <c r="M962" s="239"/>
      <c r="N962" s="235"/>
      <c r="O962" s="240"/>
      <c r="P962" s="238"/>
      <c r="Q962" s="240"/>
      <c r="R962" s="241"/>
      <c r="S962" s="240"/>
      <c r="T962" s="240"/>
      <c r="U962" s="66"/>
    </row>
    <row r="963" spans="2:21" x14ac:dyDescent="0.25">
      <c r="B963" s="66"/>
      <c r="C963" s="235"/>
      <c r="D963" s="236"/>
      <c r="E963" s="237"/>
      <c r="F963" s="238"/>
      <c r="G963" s="235"/>
      <c r="H963" s="235"/>
      <c r="I963" s="205"/>
      <c r="J963" s="205"/>
      <c r="K963" s="205"/>
      <c r="L963" s="205"/>
      <c r="M963" s="239"/>
      <c r="N963" s="235"/>
      <c r="O963" s="240"/>
      <c r="P963" s="238"/>
      <c r="Q963" s="240"/>
      <c r="R963" s="241"/>
      <c r="S963" s="240"/>
      <c r="T963" s="240"/>
      <c r="U963" s="66"/>
    </row>
    <row r="964" spans="2:21" x14ac:dyDescent="0.25">
      <c r="B964" s="66"/>
      <c r="C964" s="235"/>
      <c r="D964" s="236"/>
      <c r="E964" s="237"/>
      <c r="F964" s="238"/>
      <c r="G964" s="235"/>
      <c r="H964" s="235"/>
      <c r="I964" s="205"/>
      <c r="J964" s="205"/>
      <c r="K964" s="205"/>
      <c r="L964" s="205"/>
      <c r="M964" s="239"/>
      <c r="N964" s="235"/>
      <c r="O964" s="240"/>
      <c r="P964" s="238"/>
      <c r="Q964" s="240"/>
      <c r="R964" s="241"/>
      <c r="S964" s="240"/>
      <c r="T964" s="240"/>
      <c r="U964" s="66"/>
    </row>
    <row r="965" spans="2:21" x14ac:dyDescent="0.25">
      <c r="B965" s="66"/>
      <c r="C965" s="235"/>
      <c r="D965" s="236"/>
      <c r="E965" s="237"/>
      <c r="F965" s="238"/>
      <c r="G965" s="235"/>
      <c r="H965" s="235"/>
      <c r="I965" s="205"/>
      <c r="J965" s="205"/>
      <c r="K965" s="205"/>
      <c r="L965" s="205"/>
      <c r="M965" s="239"/>
      <c r="N965" s="235"/>
      <c r="O965" s="240"/>
      <c r="P965" s="238"/>
      <c r="Q965" s="240"/>
      <c r="R965" s="241"/>
      <c r="S965" s="240"/>
      <c r="T965" s="240"/>
      <c r="U965" s="66"/>
    </row>
    <row r="966" spans="2:21" x14ac:dyDescent="0.25">
      <c r="B966" s="66"/>
      <c r="C966" s="235"/>
      <c r="D966" s="236"/>
      <c r="E966" s="237"/>
      <c r="F966" s="238"/>
      <c r="G966" s="235"/>
      <c r="H966" s="235"/>
      <c r="I966" s="205"/>
      <c r="J966" s="205"/>
      <c r="K966" s="205"/>
      <c r="L966" s="205"/>
      <c r="M966" s="239"/>
      <c r="N966" s="235"/>
      <c r="O966" s="240"/>
      <c r="P966" s="238"/>
      <c r="Q966" s="240"/>
      <c r="R966" s="241"/>
      <c r="S966" s="240"/>
      <c r="T966" s="240"/>
      <c r="U966" s="66"/>
    </row>
    <row r="967" spans="2:21" x14ac:dyDescent="0.25">
      <c r="B967" s="66"/>
      <c r="C967" s="235"/>
      <c r="D967" s="236"/>
      <c r="E967" s="237"/>
      <c r="F967" s="238"/>
      <c r="G967" s="235"/>
      <c r="H967" s="235"/>
      <c r="I967" s="205"/>
      <c r="J967" s="205"/>
      <c r="K967" s="205"/>
      <c r="L967" s="205"/>
      <c r="M967" s="239"/>
      <c r="N967" s="235"/>
      <c r="O967" s="240"/>
      <c r="P967" s="238"/>
      <c r="Q967" s="240"/>
      <c r="R967" s="241"/>
      <c r="S967" s="240"/>
      <c r="T967" s="240"/>
      <c r="U967" s="66"/>
    </row>
    <row r="968" spans="2:21" x14ac:dyDescent="0.25">
      <c r="B968" s="66"/>
      <c r="C968" s="235"/>
      <c r="D968" s="236"/>
      <c r="E968" s="237"/>
      <c r="F968" s="238"/>
      <c r="G968" s="235"/>
      <c r="H968" s="235"/>
      <c r="I968" s="205"/>
      <c r="J968" s="205"/>
      <c r="K968" s="205"/>
      <c r="L968" s="205"/>
      <c r="M968" s="239"/>
      <c r="N968" s="235"/>
      <c r="O968" s="240"/>
      <c r="P968" s="238"/>
      <c r="Q968" s="240"/>
      <c r="R968" s="241"/>
      <c r="S968" s="240"/>
      <c r="T968" s="240"/>
      <c r="U968" s="66"/>
    </row>
    <row r="969" spans="2:21" x14ac:dyDescent="0.25">
      <c r="B969" s="66"/>
      <c r="C969" s="235"/>
      <c r="D969" s="236"/>
      <c r="E969" s="237"/>
      <c r="F969" s="238"/>
      <c r="G969" s="235"/>
      <c r="H969" s="235"/>
      <c r="I969" s="205"/>
      <c r="J969" s="205"/>
      <c r="K969" s="205"/>
      <c r="L969" s="205"/>
      <c r="M969" s="239"/>
      <c r="N969" s="235"/>
      <c r="O969" s="240"/>
      <c r="P969" s="238"/>
      <c r="Q969" s="240"/>
      <c r="R969" s="241"/>
      <c r="S969" s="240"/>
      <c r="T969" s="240"/>
      <c r="U969" s="66"/>
    </row>
    <row r="970" spans="2:21" x14ac:dyDescent="0.25">
      <c r="B970" s="66"/>
      <c r="C970" s="235"/>
      <c r="D970" s="236"/>
      <c r="E970" s="237"/>
      <c r="F970" s="238"/>
      <c r="G970" s="235"/>
      <c r="H970" s="235"/>
      <c r="I970" s="205"/>
      <c r="J970" s="205"/>
      <c r="K970" s="205"/>
      <c r="L970" s="205"/>
      <c r="M970" s="239"/>
      <c r="N970" s="235"/>
      <c r="O970" s="240"/>
      <c r="P970" s="238"/>
      <c r="Q970" s="240"/>
      <c r="R970" s="241"/>
      <c r="S970" s="240"/>
      <c r="T970" s="240"/>
      <c r="U970" s="66"/>
    </row>
    <row r="971" spans="2:21" x14ac:dyDescent="0.25">
      <c r="B971" s="66"/>
      <c r="C971" s="235"/>
      <c r="D971" s="236"/>
      <c r="E971" s="237"/>
      <c r="F971" s="238"/>
      <c r="G971" s="235"/>
      <c r="H971" s="235"/>
      <c r="I971" s="205"/>
      <c r="J971" s="205"/>
      <c r="K971" s="205"/>
      <c r="L971" s="205"/>
      <c r="M971" s="239"/>
      <c r="N971" s="235"/>
      <c r="O971" s="240"/>
      <c r="P971" s="238"/>
      <c r="Q971" s="240"/>
      <c r="R971" s="241"/>
      <c r="S971" s="240"/>
      <c r="T971" s="240"/>
      <c r="U971" s="66"/>
    </row>
    <row r="972" spans="2:21" x14ac:dyDescent="0.25">
      <c r="B972" s="66"/>
      <c r="C972" s="235"/>
      <c r="D972" s="236"/>
      <c r="E972" s="237"/>
      <c r="F972" s="238"/>
      <c r="G972" s="235"/>
      <c r="H972" s="235"/>
      <c r="I972" s="205"/>
      <c r="J972" s="205"/>
      <c r="K972" s="205"/>
      <c r="L972" s="205"/>
      <c r="M972" s="239"/>
      <c r="N972" s="235"/>
      <c r="O972" s="240"/>
      <c r="P972" s="238"/>
      <c r="Q972" s="240"/>
      <c r="R972" s="241"/>
      <c r="S972" s="240"/>
      <c r="T972" s="240"/>
      <c r="U972" s="66"/>
    </row>
    <row r="973" spans="2:21" x14ac:dyDescent="0.25">
      <c r="B973" s="66"/>
      <c r="C973" s="235"/>
      <c r="D973" s="236"/>
      <c r="E973" s="237"/>
      <c r="F973" s="238"/>
      <c r="G973" s="235"/>
      <c r="H973" s="235"/>
      <c r="I973" s="205"/>
      <c r="J973" s="205"/>
      <c r="K973" s="205"/>
      <c r="L973" s="205"/>
      <c r="M973" s="239"/>
      <c r="N973" s="235"/>
      <c r="O973" s="240"/>
      <c r="P973" s="238"/>
      <c r="Q973" s="240"/>
      <c r="R973" s="241"/>
      <c r="S973" s="240"/>
      <c r="T973" s="240"/>
      <c r="U973" s="66"/>
    </row>
    <row r="974" spans="2:21" x14ac:dyDescent="0.25">
      <c r="B974" s="66"/>
      <c r="C974" s="235"/>
      <c r="D974" s="236"/>
      <c r="E974" s="237"/>
      <c r="F974" s="238"/>
      <c r="G974" s="235"/>
      <c r="H974" s="235"/>
      <c r="I974" s="205"/>
      <c r="J974" s="205"/>
      <c r="K974" s="205"/>
      <c r="L974" s="205"/>
      <c r="M974" s="239"/>
      <c r="N974" s="235"/>
      <c r="O974" s="240"/>
      <c r="P974" s="238"/>
      <c r="Q974" s="240"/>
      <c r="R974" s="241"/>
      <c r="S974" s="240"/>
      <c r="T974" s="240"/>
      <c r="U974" s="66"/>
    </row>
    <row r="975" spans="2:21" x14ac:dyDescent="0.25">
      <c r="B975" s="66"/>
      <c r="C975" s="235"/>
      <c r="D975" s="236"/>
      <c r="E975" s="237"/>
      <c r="F975" s="238"/>
      <c r="G975" s="235"/>
      <c r="H975" s="235"/>
      <c r="I975" s="205"/>
      <c r="J975" s="205"/>
      <c r="K975" s="205"/>
      <c r="L975" s="205"/>
      <c r="M975" s="239"/>
      <c r="N975" s="235"/>
      <c r="O975" s="240"/>
      <c r="P975" s="238"/>
      <c r="Q975" s="240"/>
      <c r="R975" s="241"/>
      <c r="S975" s="240"/>
      <c r="T975" s="240"/>
      <c r="U975" s="66"/>
    </row>
    <row r="976" spans="2:21" x14ac:dyDescent="0.25">
      <c r="B976" s="66"/>
      <c r="C976" s="235"/>
      <c r="D976" s="236"/>
      <c r="E976" s="237"/>
      <c r="F976" s="238"/>
      <c r="G976" s="235"/>
      <c r="H976" s="235"/>
      <c r="I976" s="205"/>
      <c r="J976" s="205"/>
      <c r="K976" s="205"/>
      <c r="L976" s="205"/>
      <c r="M976" s="239"/>
      <c r="N976" s="235"/>
      <c r="O976" s="240"/>
      <c r="P976" s="238"/>
      <c r="Q976" s="240"/>
      <c r="R976" s="241"/>
      <c r="S976" s="240"/>
      <c r="T976" s="240"/>
      <c r="U976" s="66"/>
    </row>
    <row r="977" spans="2:21" x14ac:dyDescent="0.25">
      <c r="B977" s="66"/>
      <c r="C977" s="235"/>
      <c r="D977" s="236"/>
      <c r="E977" s="237"/>
      <c r="F977" s="238"/>
      <c r="G977" s="235"/>
      <c r="H977" s="235"/>
      <c r="I977" s="205"/>
      <c r="J977" s="205"/>
      <c r="K977" s="205"/>
      <c r="L977" s="205"/>
      <c r="M977" s="239"/>
      <c r="N977" s="235"/>
      <c r="O977" s="240"/>
      <c r="P977" s="238"/>
      <c r="Q977" s="240"/>
      <c r="R977" s="241"/>
      <c r="S977" s="240"/>
      <c r="T977" s="240"/>
      <c r="U977" s="66"/>
    </row>
    <row r="978" spans="2:21" x14ac:dyDescent="0.25">
      <c r="B978" s="66"/>
      <c r="C978" s="235"/>
      <c r="D978" s="236"/>
      <c r="E978" s="237"/>
      <c r="F978" s="238"/>
      <c r="G978" s="235"/>
      <c r="H978" s="235"/>
      <c r="I978" s="205"/>
      <c r="J978" s="205"/>
      <c r="K978" s="205"/>
      <c r="L978" s="205"/>
      <c r="M978" s="239"/>
      <c r="N978" s="235"/>
      <c r="O978" s="240"/>
      <c r="P978" s="238"/>
      <c r="Q978" s="240"/>
      <c r="R978" s="241"/>
      <c r="S978" s="240"/>
      <c r="T978" s="240"/>
      <c r="U978" s="66"/>
    </row>
    <row r="979" spans="2:21" x14ac:dyDescent="0.25">
      <c r="B979" s="66"/>
      <c r="C979" s="235"/>
      <c r="D979" s="236"/>
      <c r="E979" s="237"/>
      <c r="F979" s="238"/>
      <c r="G979" s="235"/>
      <c r="H979" s="235"/>
      <c r="I979" s="205"/>
      <c r="J979" s="205"/>
      <c r="K979" s="205"/>
      <c r="L979" s="205"/>
      <c r="M979" s="239"/>
      <c r="N979" s="235"/>
      <c r="O979" s="240"/>
      <c r="P979" s="238"/>
      <c r="Q979" s="240"/>
      <c r="R979" s="241"/>
      <c r="S979" s="240"/>
      <c r="T979" s="240"/>
      <c r="U979" s="66"/>
    </row>
    <row r="980" spans="2:21" x14ac:dyDescent="0.25">
      <c r="B980" s="66"/>
      <c r="C980" s="235"/>
      <c r="D980" s="236"/>
      <c r="E980" s="237"/>
      <c r="F980" s="238"/>
      <c r="G980" s="235"/>
      <c r="H980" s="235"/>
      <c r="I980" s="205"/>
      <c r="J980" s="205"/>
      <c r="K980" s="205"/>
      <c r="L980" s="205"/>
      <c r="M980" s="239"/>
      <c r="N980" s="235"/>
      <c r="O980" s="240"/>
      <c r="P980" s="238"/>
      <c r="Q980" s="240"/>
      <c r="R980" s="241"/>
      <c r="S980" s="240"/>
      <c r="T980" s="240"/>
      <c r="U980" s="66"/>
    </row>
    <row r="981" spans="2:21" x14ac:dyDescent="0.25">
      <c r="B981" s="66"/>
      <c r="C981" s="235"/>
      <c r="D981" s="236"/>
      <c r="E981" s="237"/>
      <c r="F981" s="238"/>
      <c r="G981" s="235"/>
      <c r="H981" s="235"/>
      <c r="I981" s="205"/>
      <c r="J981" s="205"/>
      <c r="K981" s="205"/>
      <c r="L981" s="205"/>
      <c r="M981" s="239"/>
      <c r="N981" s="235"/>
      <c r="O981" s="240"/>
      <c r="P981" s="238"/>
      <c r="Q981" s="240"/>
      <c r="R981" s="241"/>
      <c r="S981" s="240"/>
      <c r="T981" s="240"/>
      <c r="U981" s="66"/>
    </row>
    <row r="982" spans="2:21" x14ac:dyDescent="0.25">
      <c r="B982" s="66"/>
      <c r="C982" s="235"/>
      <c r="D982" s="236"/>
      <c r="E982" s="237"/>
      <c r="F982" s="238"/>
      <c r="G982" s="235"/>
      <c r="H982" s="235"/>
      <c r="I982" s="205"/>
      <c r="J982" s="205"/>
      <c r="K982" s="205"/>
      <c r="L982" s="205"/>
      <c r="M982" s="239"/>
      <c r="N982" s="235"/>
      <c r="O982" s="240"/>
      <c r="P982" s="238"/>
      <c r="Q982" s="240"/>
      <c r="R982" s="241"/>
      <c r="S982" s="240"/>
      <c r="T982" s="240"/>
      <c r="U982" s="66"/>
    </row>
    <row r="983" spans="2:21" x14ac:dyDescent="0.25">
      <c r="B983" s="66"/>
      <c r="C983" s="235"/>
      <c r="D983" s="236"/>
      <c r="E983" s="237"/>
      <c r="F983" s="238"/>
      <c r="G983" s="235"/>
      <c r="H983" s="235"/>
      <c r="I983" s="205"/>
      <c r="J983" s="205"/>
      <c r="K983" s="205"/>
      <c r="L983" s="205"/>
      <c r="M983" s="239"/>
      <c r="N983" s="235"/>
      <c r="O983" s="240"/>
      <c r="P983" s="238"/>
      <c r="Q983" s="240"/>
      <c r="R983" s="241"/>
      <c r="S983" s="240"/>
      <c r="T983" s="240"/>
      <c r="U983" s="66"/>
    </row>
    <row r="984" spans="2:21" x14ac:dyDescent="0.25">
      <c r="B984" s="66"/>
      <c r="C984" s="235"/>
      <c r="D984" s="236"/>
      <c r="E984" s="237"/>
      <c r="F984" s="238"/>
      <c r="G984" s="235"/>
      <c r="H984" s="235"/>
      <c r="I984" s="205"/>
      <c r="J984" s="205"/>
      <c r="K984" s="205"/>
      <c r="L984" s="205"/>
      <c r="M984" s="239"/>
      <c r="N984" s="235"/>
      <c r="O984" s="240"/>
      <c r="P984" s="238"/>
      <c r="Q984" s="240"/>
      <c r="R984" s="241"/>
      <c r="S984" s="240"/>
      <c r="T984" s="240"/>
      <c r="U984" s="66"/>
    </row>
    <row r="985" spans="2:21" x14ac:dyDescent="0.25">
      <c r="B985" s="66"/>
      <c r="C985" s="235"/>
      <c r="D985" s="236"/>
      <c r="E985" s="237"/>
      <c r="F985" s="238"/>
      <c r="G985" s="235"/>
      <c r="H985" s="235"/>
      <c r="I985" s="205"/>
      <c r="J985" s="205"/>
      <c r="K985" s="205"/>
      <c r="L985" s="205"/>
      <c r="M985" s="239"/>
      <c r="N985" s="235"/>
      <c r="O985" s="240"/>
      <c r="P985" s="238"/>
      <c r="Q985" s="240"/>
      <c r="R985" s="241"/>
      <c r="S985" s="240"/>
      <c r="T985" s="240"/>
      <c r="U985" s="66"/>
    </row>
    <row r="986" spans="2:21" x14ac:dyDescent="0.25">
      <c r="B986" s="66"/>
      <c r="C986" s="235"/>
      <c r="D986" s="236"/>
      <c r="E986" s="237"/>
      <c r="F986" s="238"/>
      <c r="G986" s="235"/>
      <c r="H986" s="235"/>
      <c r="I986" s="205"/>
      <c r="J986" s="205"/>
      <c r="K986" s="205"/>
      <c r="L986" s="205"/>
      <c r="M986" s="239"/>
      <c r="N986" s="235"/>
      <c r="O986" s="240"/>
      <c r="P986" s="238"/>
      <c r="Q986" s="240"/>
      <c r="R986" s="241"/>
      <c r="S986" s="240"/>
      <c r="T986" s="240"/>
      <c r="U986" s="66"/>
    </row>
    <row r="987" spans="2:21" x14ac:dyDescent="0.25">
      <c r="B987" s="66"/>
      <c r="C987" s="235"/>
      <c r="D987" s="236"/>
      <c r="E987" s="237"/>
      <c r="F987" s="238"/>
      <c r="G987" s="235"/>
      <c r="H987" s="235"/>
      <c r="I987" s="205"/>
      <c r="J987" s="205"/>
      <c r="K987" s="205"/>
      <c r="L987" s="205"/>
      <c r="M987" s="239"/>
      <c r="N987" s="235"/>
      <c r="O987" s="240"/>
      <c r="P987" s="238"/>
      <c r="Q987" s="240"/>
      <c r="R987" s="241"/>
      <c r="S987" s="240"/>
      <c r="T987" s="240"/>
      <c r="U987" s="66"/>
    </row>
    <row r="988" spans="2:21" x14ac:dyDescent="0.25">
      <c r="B988" s="66"/>
      <c r="C988" s="235"/>
      <c r="D988" s="236"/>
      <c r="E988" s="237"/>
      <c r="F988" s="238"/>
      <c r="G988" s="235"/>
      <c r="H988" s="235"/>
      <c r="I988" s="205"/>
      <c r="J988" s="205"/>
      <c r="K988" s="205"/>
      <c r="L988" s="205"/>
      <c r="M988" s="239"/>
      <c r="N988" s="235"/>
      <c r="O988" s="240"/>
      <c r="P988" s="238"/>
      <c r="Q988" s="240"/>
      <c r="R988" s="241"/>
      <c r="S988" s="240"/>
      <c r="T988" s="240"/>
      <c r="U988" s="66"/>
    </row>
    <row r="989" spans="2:21" x14ac:dyDescent="0.25">
      <c r="B989" s="66"/>
      <c r="C989" s="235"/>
      <c r="D989" s="236"/>
      <c r="E989" s="237"/>
      <c r="F989" s="238"/>
      <c r="G989" s="235"/>
      <c r="H989" s="235"/>
      <c r="I989" s="205"/>
      <c r="J989" s="205"/>
      <c r="K989" s="205"/>
      <c r="L989" s="205"/>
      <c r="M989" s="239"/>
      <c r="N989" s="235"/>
      <c r="O989" s="240"/>
      <c r="P989" s="238"/>
      <c r="Q989" s="240"/>
      <c r="R989" s="241"/>
      <c r="S989" s="240"/>
      <c r="T989" s="240"/>
      <c r="U989" s="66"/>
    </row>
    <row r="990" spans="2:21" x14ac:dyDescent="0.25">
      <c r="B990" s="66"/>
      <c r="C990" s="235"/>
      <c r="D990" s="236"/>
      <c r="E990" s="237"/>
      <c r="F990" s="238"/>
      <c r="G990" s="235"/>
      <c r="H990" s="235"/>
      <c r="I990" s="205"/>
      <c r="J990" s="205"/>
      <c r="K990" s="205"/>
      <c r="L990" s="205"/>
      <c r="M990" s="239"/>
      <c r="N990" s="235"/>
      <c r="O990" s="240"/>
      <c r="P990" s="238"/>
      <c r="Q990" s="240"/>
      <c r="R990" s="241"/>
      <c r="S990" s="240"/>
      <c r="T990" s="240"/>
      <c r="U990" s="66"/>
    </row>
    <row r="991" spans="2:21" x14ac:dyDescent="0.25">
      <c r="B991" s="66"/>
      <c r="C991" s="235"/>
      <c r="D991" s="236"/>
      <c r="E991" s="237"/>
      <c r="F991" s="238"/>
      <c r="G991" s="235"/>
      <c r="H991" s="235"/>
      <c r="I991" s="205"/>
      <c r="J991" s="205"/>
      <c r="K991" s="205"/>
      <c r="L991" s="205"/>
      <c r="M991" s="239"/>
      <c r="N991" s="235"/>
      <c r="O991" s="240"/>
      <c r="P991" s="238"/>
      <c r="Q991" s="240"/>
      <c r="R991" s="241"/>
      <c r="S991" s="240"/>
      <c r="T991" s="240"/>
      <c r="U991" s="66"/>
    </row>
    <row r="992" spans="2:21" x14ac:dyDescent="0.25">
      <c r="B992" s="66"/>
      <c r="C992" s="235"/>
      <c r="D992" s="236"/>
      <c r="E992" s="237"/>
      <c r="F992" s="238"/>
      <c r="G992" s="235"/>
      <c r="H992" s="235"/>
      <c r="I992" s="205"/>
      <c r="J992" s="205"/>
      <c r="K992" s="205"/>
      <c r="L992" s="205"/>
      <c r="M992" s="239"/>
      <c r="N992" s="235"/>
      <c r="O992" s="240"/>
      <c r="P992" s="238"/>
      <c r="Q992" s="240"/>
      <c r="R992" s="241"/>
      <c r="S992" s="240"/>
      <c r="T992" s="240"/>
      <c r="U992" s="66"/>
    </row>
    <row r="993" spans="2:21" x14ac:dyDescent="0.25">
      <c r="B993" s="66"/>
      <c r="C993" s="235"/>
      <c r="D993" s="236"/>
      <c r="E993" s="237"/>
      <c r="F993" s="238"/>
      <c r="G993" s="235"/>
      <c r="H993" s="235"/>
      <c r="I993" s="205"/>
      <c r="J993" s="205"/>
      <c r="K993" s="205"/>
      <c r="L993" s="205"/>
      <c r="M993" s="239"/>
      <c r="N993" s="235"/>
      <c r="O993" s="240"/>
      <c r="P993" s="238"/>
      <c r="Q993" s="240"/>
      <c r="R993" s="241"/>
      <c r="S993" s="240"/>
      <c r="T993" s="240"/>
      <c r="U993" s="66"/>
    </row>
    <row r="994" spans="2:21" x14ac:dyDescent="0.25">
      <c r="B994" s="66"/>
      <c r="C994" s="235"/>
      <c r="D994" s="236"/>
      <c r="E994" s="237"/>
      <c r="F994" s="238"/>
      <c r="G994" s="235"/>
      <c r="H994" s="235"/>
      <c r="I994" s="205"/>
      <c r="J994" s="205"/>
      <c r="K994" s="205"/>
      <c r="L994" s="205"/>
      <c r="M994" s="239"/>
      <c r="N994" s="235"/>
      <c r="O994" s="240"/>
      <c r="P994" s="238"/>
      <c r="Q994" s="240"/>
      <c r="R994" s="241"/>
      <c r="S994" s="240"/>
      <c r="T994" s="240"/>
      <c r="U994" s="66"/>
    </row>
    <row r="995" spans="2:21" x14ac:dyDescent="0.25">
      <c r="B995" s="66"/>
      <c r="C995" s="235"/>
      <c r="D995" s="236"/>
      <c r="E995" s="237"/>
      <c r="F995" s="238"/>
      <c r="G995" s="235"/>
      <c r="H995" s="235"/>
      <c r="I995" s="205"/>
      <c r="J995" s="205"/>
      <c r="K995" s="205"/>
      <c r="L995" s="205"/>
      <c r="M995" s="239"/>
      <c r="N995" s="235"/>
      <c r="O995" s="240"/>
      <c r="P995" s="238"/>
      <c r="Q995" s="240"/>
      <c r="R995" s="241"/>
      <c r="S995" s="240"/>
      <c r="T995" s="240"/>
      <c r="U995" s="66"/>
    </row>
    <row r="996" spans="2:21" x14ac:dyDescent="0.25">
      <c r="B996" s="66"/>
      <c r="C996" s="235"/>
      <c r="D996" s="236"/>
      <c r="E996" s="237"/>
      <c r="F996" s="238"/>
      <c r="G996" s="235"/>
      <c r="H996" s="235"/>
      <c r="I996" s="205"/>
      <c r="J996" s="205"/>
      <c r="K996" s="205"/>
      <c r="L996" s="205"/>
      <c r="M996" s="239"/>
      <c r="N996" s="235"/>
      <c r="O996" s="240"/>
      <c r="P996" s="238"/>
      <c r="Q996" s="240"/>
      <c r="R996" s="241"/>
      <c r="S996" s="240"/>
      <c r="T996" s="240"/>
      <c r="U996" s="66"/>
    </row>
    <row r="997" spans="2:21" x14ac:dyDescent="0.25">
      <c r="B997" s="66"/>
      <c r="C997" s="235"/>
      <c r="D997" s="236"/>
      <c r="E997" s="237"/>
      <c r="F997" s="238"/>
      <c r="G997" s="235"/>
      <c r="H997" s="235"/>
      <c r="I997" s="205"/>
      <c r="J997" s="205"/>
      <c r="K997" s="205"/>
      <c r="L997" s="205"/>
      <c r="M997" s="239"/>
      <c r="N997" s="235"/>
      <c r="O997" s="240"/>
      <c r="P997" s="238"/>
      <c r="Q997" s="240"/>
      <c r="R997" s="241"/>
      <c r="S997" s="240"/>
      <c r="T997" s="240"/>
      <c r="U997" s="66"/>
    </row>
    <row r="998" spans="2:21" x14ac:dyDescent="0.25">
      <c r="B998" s="66"/>
      <c r="C998" s="235"/>
      <c r="D998" s="236"/>
      <c r="E998" s="237"/>
      <c r="F998" s="238"/>
      <c r="G998" s="235"/>
      <c r="H998" s="235"/>
      <c r="I998" s="205"/>
      <c r="J998" s="205"/>
      <c r="K998" s="205"/>
      <c r="L998" s="205"/>
      <c r="M998" s="239"/>
      <c r="N998" s="235"/>
      <c r="O998" s="240"/>
      <c r="P998" s="238"/>
      <c r="Q998" s="240"/>
      <c r="R998" s="241"/>
      <c r="S998" s="240"/>
      <c r="T998" s="240"/>
      <c r="U998" s="66"/>
    </row>
    <row r="999" spans="2:21" x14ac:dyDescent="0.25">
      <c r="B999" s="66"/>
      <c r="C999" s="235"/>
      <c r="D999" s="236"/>
      <c r="E999" s="237"/>
      <c r="F999" s="238"/>
      <c r="G999" s="235"/>
      <c r="H999" s="235"/>
      <c r="I999" s="205"/>
      <c r="J999" s="205"/>
      <c r="K999" s="205"/>
      <c r="L999" s="205"/>
      <c r="M999" s="239"/>
      <c r="N999" s="235"/>
      <c r="O999" s="240"/>
      <c r="P999" s="238"/>
      <c r="Q999" s="240"/>
      <c r="R999" s="241"/>
      <c r="S999" s="240"/>
      <c r="T999" s="240"/>
      <c r="U999" s="66"/>
    </row>
    <row r="1000" spans="2:21" x14ac:dyDescent="0.25">
      <c r="B1000" s="66"/>
      <c r="C1000" s="235"/>
      <c r="D1000" s="236"/>
      <c r="E1000" s="237"/>
      <c r="F1000" s="238"/>
      <c r="G1000" s="235"/>
      <c r="H1000" s="235"/>
      <c r="I1000" s="205"/>
      <c r="J1000" s="205"/>
      <c r="K1000" s="205"/>
      <c r="L1000" s="205"/>
      <c r="M1000" s="239"/>
      <c r="N1000" s="235"/>
      <c r="O1000" s="240"/>
      <c r="P1000" s="238"/>
      <c r="Q1000" s="240"/>
      <c r="R1000" s="241"/>
      <c r="S1000" s="240"/>
      <c r="T1000" s="240"/>
      <c r="U1000" s="66"/>
    </row>
    <row r="1001" spans="2:21" x14ac:dyDescent="0.25">
      <c r="B1001" s="66"/>
      <c r="C1001" s="235"/>
      <c r="D1001" s="236"/>
      <c r="E1001" s="237"/>
      <c r="F1001" s="238"/>
      <c r="G1001" s="235"/>
      <c r="H1001" s="235"/>
      <c r="I1001" s="205"/>
      <c r="J1001" s="205"/>
      <c r="K1001" s="205"/>
      <c r="L1001" s="205"/>
      <c r="M1001" s="239"/>
      <c r="N1001" s="235"/>
      <c r="O1001" s="240"/>
      <c r="P1001" s="238"/>
      <c r="Q1001" s="240"/>
      <c r="R1001" s="241"/>
      <c r="S1001" s="240"/>
      <c r="T1001" s="240"/>
      <c r="U1001" s="66"/>
    </row>
    <row r="1002" spans="2:21" x14ac:dyDescent="0.25">
      <c r="B1002" s="66"/>
      <c r="C1002" s="235"/>
      <c r="D1002" s="236"/>
      <c r="E1002" s="237"/>
      <c r="F1002" s="238"/>
      <c r="G1002" s="235"/>
      <c r="H1002" s="235"/>
      <c r="I1002" s="205"/>
      <c r="J1002" s="205"/>
      <c r="K1002" s="205"/>
      <c r="L1002" s="205"/>
      <c r="M1002" s="239"/>
      <c r="N1002" s="235"/>
      <c r="O1002" s="240"/>
      <c r="P1002" s="238"/>
      <c r="Q1002" s="240"/>
      <c r="R1002" s="241"/>
      <c r="S1002" s="240"/>
      <c r="T1002" s="240"/>
      <c r="U1002" s="66"/>
    </row>
    <row r="1003" spans="2:21" x14ac:dyDescent="0.25">
      <c r="B1003" s="66"/>
      <c r="C1003" s="235"/>
      <c r="D1003" s="236"/>
      <c r="E1003" s="237"/>
      <c r="F1003" s="238"/>
      <c r="G1003" s="235"/>
      <c r="H1003" s="235"/>
      <c r="I1003" s="205"/>
      <c r="J1003" s="205"/>
      <c r="K1003" s="205"/>
      <c r="L1003" s="205"/>
      <c r="M1003" s="239"/>
      <c r="N1003" s="235"/>
      <c r="O1003" s="240"/>
      <c r="P1003" s="238"/>
      <c r="Q1003" s="240"/>
      <c r="R1003" s="241"/>
      <c r="S1003" s="240"/>
      <c r="T1003" s="240"/>
      <c r="U1003" s="66"/>
    </row>
    <row r="1004" spans="2:21" x14ac:dyDescent="0.25">
      <c r="B1004" s="66"/>
      <c r="C1004" s="235"/>
      <c r="D1004" s="236"/>
      <c r="E1004" s="237"/>
      <c r="F1004" s="238"/>
      <c r="G1004" s="235"/>
      <c r="H1004" s="235"/>
      <c r="I1004" s="205"/>
      <c r="J1004" s="205"/>
      <c r="K1004" s="205"/>
      <c r="L1004" s="205"/>
      <c r="M1004" s="239"/>
      <c r="N1004" s="235"/>
      <c r="O1004" s="240"/>
      <c r="P1004" s="238"/>
      <c r="Q1004" s="240"/>
      <c r="R1004" s="241"/>
      <c r="S1004" s="240"/>
      <c r="T1004" s="240"/>
      <c r="U1004" s="66"/>
    </row>
    <row r="1005" spans="2:21" x14ac:dyDescent="0.25">
      <c r="B1005" s="66"/>
      <c r="C1005" s="235"/>
      <c r="D1005" s="236"/>
      <c r="E1005" s="237"/>
      <c r="F1005" s="238"/>
      <c r="G1005" s="235"/>
      <c r="H1005" s="235"/>
      <c r="I1005" s="205"/>
      <c r="J1005" s="205"/>
      <c r="K1005" s="205"/>
      <c r="L1005" s="205"/>
      <c r="M1005" s="239"/>
      <c r="N1005" s="235"/>
      <c r="O1005" s="240"/>
      <c r="P1005" s="238"/>
      <c r="Q1005" s="240"/>
      <c r="R1005" s="241"/>
      <c r="S1005" s="240"/>
      <c r="T1005" s="240"/>
      <c r="U1005" s="66"/>
    </row>
    <row r="1006" spans="2:21" x14ac:dyDescent="0.25">
      <c r="B1006" s="66"/>
      <c r="C1006" s="235"/>
      <c r="D1006" s="236"/>
      <c r="E1006" s="237"/>
      <c r="F1006" s="238"/>
      <c r="G1006" s="235"/>
      <c r="H1006" s="235"/>
      <c r="I1006" s="205"/>
      <c r="J1006" s="205"/>
      <c r="K1006" s="205"/>
      <c r="L1006" s="205"/>
      <c r="M1006" s="239"/>
      <c r="N1006" s="235"/>
      <c r="O1006" s="240"/>
      <c r="P1006" s="238"/>
      <c r="Q1006" s="240"/>
      <c r="R1006" s="241"/>
      <c r="S1006" s="240"/>
      <c r="T1006" s="240"/>
      <c r="U1006" s="66"/>
    </row>
    <row r="1007" spans="2:21" x14ac:dyDescent="0.25">
      <c r="B1007" s="66"/>
      <c r="C1007" s="235"/>
      <c r="D1007" s="236"/>
      <c r="E1007" s="237"/>
      <c r="F1007" s="238"/>
      <c r="G1007" s="235"/>
      <c r="H1007" s="235"/>
      <c r="I1007" s="205"/>
      <c r="J1007" s="205"/>
      <c r="K1007" s="205"/>
      <c r="L1007" s="205"/>
      <c r="M1007" s="239"/>
      <c r="N1007" s="235"/>
      <c r="O1007" s="240"/>
      <c r="P1007" s="238"/>
      <c r="Q1007" s="240"/>
      <c r="R1007" s="241"/>
      <c r="S1007" s="240"/>
      <c r="T1007" s="240"/>
      <c r="U1007" s="66"/>
    </row>
    <row r="1008" spans="2:21" x14ac:dyDescent="0.25">
      <c r="B1008" s="66"/>
      <c r="C1008" s="235"/>
      <c r="D1008" s="236"/>
      <c r="E1008" s="237"/>
      <c r="F1008" s="238"/>
      <c r="G1008" s="235"/>
      <c r="H1008" s="235"/>
      <c r="I1008" s="205"/>
      <c r="J1008" s="205"/>
      <c r="K1008" s="205"/>
      <c r="L1008" s="205"/>
      <c r="M1008" s="239"/>
      <c r="N1008" s="235"/>
      <c r="O1008" s="240"/>
      <c r="P1008" s="238"/>
      <c r="Q1008" s="240"/>
      <c r="R1008" s="241"/>
      <c r="S1008" s="240"/>
      <c r="T1008" s="240"/>
      <c r="U1008" s="66"/>
    </row>
    <row r="1009" spans="2:21" x14ac:dyDescent="0.25">
      <c r="B1009" s="66"/>
      <c r="C1009" s="235"/>
      <c r="D1009" s="236"/>
      <c r="E1009" s="237"/>
      <c r="F1009" s="238"/>
      <c r="G1009" s="235"/>
      <c r="H1009" s="235"/>
      <c r="I1009" s="205"/>
      <c r="J1009" s="205"/>
      <c r="K1009" s="205"/>
      <c r="L1009" s="205"/>
      <c r="M1009" s="239"/>
      <c r="N1009" s="235"/>
      <c r="O1009" s="240"/>
      <c r="P1009" s="238"/>
      <c r="Q1009" s="240"/>
      <c r="R1009" s="241"/>
      <c r="S1009" s="240"/>
      <c r="T1009" s="240"/>
      <c r="U1009" s="66"/>
    </row>
    <row r="1010" spans="2:21" x14ac:dyDescent="0.25">
      <c r="B1010" s="66"/>
      <c r="C1010" s="235"/>
      <c r="D1010" s="236"/>
      <c r="E1010" s="237"/>
      <c r="F1010" s="238"/>
      <c r="G1010" s="235"/>
      <c r="H1010" s="235"/>
      <c r="I1010" s="205"/>
      <c r="J1010" s="205"/>
      <c r="K1010" s="205"/>
      <c r="L1010" s="205"/>
      <c r="M1010" s="239"/>
      <c r="N1010" s="235"/>
      <c r="O1010" s="240"/>
      <c r="P1010" s="238"/>
      <c r="Q1010" s="240"/>
      <c r="R1010" s="241"/>
      <c r="S1010" s="240"/>
      <c r="T1010" s="240"/>
      <c r="U1010" s="66"/>
    </row>
    <row r="1011" spans="2:21" x14ac:dyDescent="0.25">
      <c r="B1011" s="66"/>
      <c r="C1011" s="235"/>
      <c r="D1011" s="236"/>
      <c r="E1011" s="237"/>
      <c r="F1011" s="238"/>
      <c r="G1011" s="235"/>
      <c r="H1011" s="235"/>
      <c r="I1011" s="205"/>
      <c r="J1011" s="205"/>
      <c r="K1011" s="205"/>
      <c r="L1011" s="205"/>
      <c r="M1011" s="239"/>
      <c r="N1011" s="235"/>
      <c r="O1011" s="240"/>
      <c r="P1011" s="238"/>
      <c r="Q1011" s="240"/>
      <c r="R1011" s="241"/>
      <c r="S1011" s="240"/>
      <c r="T1011" s="240"/>
      <c r="U1011" s="66"/>
    </row>
    <row r="1012" spans="2:21" x14ac:dyDescent="0.25">
      <c r="B1012" s="66"/>
      <c r="C1012" s="235"/>
      <c r="D1012" s="236"/>
      <c r="E1012" s="237"/>
      <c r="F1012" s="238"/>
      <c r="G1012" s="235"/>
      <c r="H1012" s="235"/>
      <c r="I1012" s="205"/>
      <c r="J1012" s="205"/>
      <c r="K1012" s="205"/>
      <c r="L1012" s="205"/>
      <c r="M1012" s="239"/>
      <c r="N1012" s="235"/>
      <c r="O1012" s="240"/>
      <c r="P1012" s="238"/>
      <c r="Q1012" s="240"/>
      <c r="R1012" s="241"/>
      <c r="S1012" s="240"/>
      <c r="T1012" s="240"/>
      <c r="U1012" s="66"/>
    </row>
    <row r="1013" spans="2:21" x14ac:dyDescent="0.25">
      <c r="B1013" s="66"/>
      <c r="C1013" s="235"/>
      <c r="D1013" s="236"/>
      <c r="E1013" s="237"/>
      <c r="F1013" s="238"/>
      <c r="G1013" s="235"/>
      <c r="H1013" s="235"/>
      <c r="I1013" s="205"/>
      <c r="J1013" s="205"/>
      <c r="K1013" s="205"/>
      <c r="L1013" s="205"/>
      <c r="M1013" s="239"/>
      <c r="N1013" s="235"/>
      <c r="O1013" s="240"/>
      <c r="P1013" s="238"/>
      <c r="Q1013" s="240"/>
      <c r="R1013" s="241"/>
      <c r="S1013" s="240"/>
      <c r="T1013" s="240"/>
      <c r="U1013" s="66"/>
    </row>
    <row r="1014" spans="2:21" x14ac:dyDescent="0.25">
      <c r="B1014" s="66"/>
      <c r="C1014" s="235"/>
      <c r="D1014" s="236"/>
      <c r="E1014" s="237"/>
      <c r="F1014" s="238"/>
      <c r="G1014" s="235"/>
      <c r="H1014" s="235"/>
      <c r="I1014" s="205"/>
      <c r="J1014" s="205"/>
      <c r="K1014" s="205"/>
      <c r="L1014" s="205"/>
      <c r="M1014" s="239"/>
      <c r="N1014" s="235"/>
      <c r="O1014" s="240"/>
      <c r="P1014" s="238"/>
      <c r="Q1014" s="240"/>
      <c r="R1014" s="241"/>
      <c r="S1014" s="240"/>
      <c r="T1014" s="240"/>
      <c r="U1014" s="66"/>
    </row>
    <row r="1015" spans="2:21" x14ac:dyDescent="0.25">
      <c r="B1015" s="66"/>
      <c r="C1015" s="235"/>
      <c r="D1015" s="236"/>
      <c r="E1015" s="237"/>
      <c r="F1015" s="238"/>
      <c r="G1015" s="235"/>
      <c r="H1015" s="235"/>
      <c r="I1015" s="205"/>
      <c r="J1015" s="205"/>
      <c r="K1015" s="205"/>
      <c r="L1015" s="205"/>
      <c r="M1015" s="239"/>
      <c r="N1015" s="235"/>
      <c r="O1015" s="240"/>
      <c r="P1015" s="238"/>
      <c r="Q1015" s="240"/>
      <c r="R1015" s="241"/>
      <c r="S1015" s="240"/>
      <c r="T1015" s="240"/>
      <c r="U1015" s="66"/>
    </row>
    <row r="1016" spans="2:21" x14ac:dyDescent="0.25">
      <c r="B1016" s="66"/>
      <c r="C1016" s="235"/>
      <c r="D1016" s="236"/>
      <c r="E1016" s="237"/>
      <c r="F1016" s="238"/>
      <c r="G1016" s="235"/>
      <c r="H1016" s="235"/>
      <c r="I1016" s="205"/>
      <c r="J1016" s="205"/>
      <c r="K1016" s="205"/>
      <c r="L1016" s="205"/>
      <c r="M1016" s="239"/>
      <c r="N1016" s="235"/>
      <c r="O1016" s="240"/>
      <c r="P1016" s="238"/>
      <c r="Q1016" s="240"/>
      <c r="R1016" s="241"/>
      <c r="S1016" s="240"/>
      <c r="T1016" s="240"/>
      <c r="U1016" s="66"/>
    </row>
    <row r="1017" spans="2:21" x14ac:dyDescent="0.25">
      <c r="B1017" s="66"/>
      <c r="C1017" s="235"/>
      <c r="D1017" s="236"/>
      <c r="E1017" s="237"/>
      <c r="F1017" s="238"/>
      <c r="G1017" s="235"/>
      <c r="H1017" s="235"/>
      <c r="I1017" s="205"/>
      <c r="J1017" s="205"/>
      <c r="K1017" s="205"/>
      <c r="L1017" s="205"/>
      <c r="M1017" s="239"/>
      <c r="N1017" s="235"/>
      <c r="O1017" s="240"/>
      <c r="P1017" s="238"/>
      <c r="Q1017" s="240"/>
      <c r="R1017" s="241"/>
      <c r="S1017" s="240"/>
      <c r="T1017" s="240"/>
      <c r="U1017" s="66"/>
    </row>
    <row r="1018" spans="2:21" x14ac:dyDescent="0.25">
      <c r="B1018" s="66"/>
      <c r="C1018" s="235"/>
      <c r="D1018" s="236"/>
      <c r="E1018" s="237"/>
      <c r="F1018" s="238"/>
      <c r="G1018" s="235"/>
      <c r="H1018" s="235"/>
      <c r="I1018" s="205"/>
      <c r="J1018" s="205"/>
      <c r="K1018" s="205"/>
      <c r="L1018" s="205"/>
      <c r="M1018" s="239"/>
      <c r="N1018" s="235"/>
      <c r="O1018" s="240"/>
      <c r="P1018" s="238"/>
      <c r="Q1018" s="240"/>
      <c r="R1018" s="241"/>
      <c r="S1018" s="240"/>
      <c r="T1018" s="240"/>
      <c r="U1018" s="66"/>
    </row>
    <row r="1019" spans="2:21" x14ac:dyDescent="0.25">
      <c r="B1019" s="66"/>
      <c r="C1019" s="235"/>
      <c r="D1019" s="236"/>
      <c r="E1019" s="237"/>
      <c r="F1019" s="238"/>
      <c r="G1019" s="235"/>
      <c r="H1019" s="235"/>
      <c r="I1019" s="205"/>
      <c r="J1019" s="205"/>
      <c r="K1019" s="205"/>
      <c r="L1019" s="205"/>
      <c r="M1019" s="239"/>
      <c r="N1019" s="235"/>
      <c r="O1019" s="240"/>
      <c r="P1019" s="238"/>
      <c r="Q1019" s="240"/>
      <c r="R1019" s="241"/>
      <c r="S1019" s="240"/>
      <c r="T1019" s="240"/>
      <c r="U1019" s="66"/>
    </row>
    <row r="1020" spans="2:21" x14ac:dyDescent="0.25">
      <c r="B1020" s="66"/>
      <c r="C1020" s="235"/>
      <c r="D1020" s="236"/>
      <c r="E1020" s="237"/>
      <c r="F1020" s="238"/>
      <c r="G1020" s="235"/>
      <c r="H1020" s="235"/>
      <c r="I1020" s="205"/>
      <c r="J1020" s="205"/>
      <c r="K1020" s="205"/>
      <c r="L1020" s="205"/>
      <c r="M1020" s="239"/>
      <c r="N1020" s="235"/>
      <c r="O1020" s="240"/>
      <c r="P1020" s="238"/>
      <c r="Q1020" s="240"/>
      <c r="R1020" s="241"/>
      <c r="S1020" s="240"/>
      <c r="T1020" s="240"/>
      <c r="U1020" s="66"/>
    </row>
    <row r="1021" spans="2:21" x14ac:dyDescent="0.25">
      <c r="B1021" s="66"/>
      <c r="C1021" s="235"/>
      <c r="D1021" s="236"/>
      <c r="E1021" s="237"/>
      <c r="F1021" s="238"/>
      <c r="G1021" s="235"/>
      <c r="H1021" s="235"/>
      <c r="I1021" s="205"/>
      <c r="J1021" s="205"/>
      <c r="K1021" s="205"/>
      <c r="L1021" s="205"/>
      <c r="M1021" s="239"/>
      <c r="N1021" s="235"/>
      <c r="O1021" s="240"/>
      <c r="P1021" s="238"/>
      <c r="Q1021" s="240"/>
      <c r="R1021" s="241"/>
      <c r="S1021" s="240"/>
      <c r="T1021" s="240"/>
      <c r="U1021" s="66"/>
    </row>
    <row r="1022" spans="2:21" x14ac:dyDescent="0.25">
      <c r="B1022" s="66"/>
      <c r="C1022" s="235"/>
      <c r="D1022" s="236"/>
      <c r="E1022" s="237"/>
      <c r="F1022" s="238"/>
      <c r="G1022" s="235"/>
      <c r="H1022" s="235"/>
      <c r="I1022" s="205"/>
      <c r="J1022" s="205"/>
      <c r="K1022" s="205"/>
      <c r="L1022" s="205"/>
      <c r="M1022" s="239"/>
      <c r="N1022" s="235"/>
      <c r="O1022" s="240"/>
      <c r="P1022" s="238"/>
      <c r="Q1022" s="240"/>
      <c r="R1022" s="241"/>
      <c r="S1022" s="240"/>
      <c r="T1022" s="240"/>
      <c r="U1022" s="66"/>
    </row>
    <row r="1023" spans="2:21" x14ac:dyDescent="0.25">
      <c r="B1023" s="66"/>
      <c r="C1023" s="235"/>
      <c r="D1023" s="236"/>
      <c r="E1023" s="237"/>
      <c r="F1023" s="238"/>
      <c r="G1023" s="235"/>
      <c r="H1023" s="235"/>
      <c r="I1023" s="205"/>
      <c r="J1023" s="205"/>
      <c r="K1023" s="205"/>
      <c r="L1023" s="205"/>
      <c r="M1023" s="239"/>
      <c r="N1023" s="235"/>
      <c r="O1023" s="240"/>
      <c r="P1023" s="238"/>
      <c r="Q1023" s="240"/>
      <c r="R1023" s="241"/>
      <c r="S1023" s="240"/>
      <c r="T1023" s="240"/>
      <c r="U1023" s="66"/>
    </row>
    <row r="1024" spans="2:21" x14ac:dyDescent="0.25">
      <c r="B1024" s="66"/>
      <c r="C1024" s="235"/>
      <c r="D1024" s="236"/>
      <c r="E1024" s="237"/>
      <c r="F1024" s="238"/>
      <c r="G1024" s="235"/>
      <c r="H1024" s="235"/>
      <c r="I1024" s="205"/>
      <c r="J1024" s="205"/>
      <c r="K1024" s="205"/>
      <c r="L1024" s="205"/>
      <c r="M1024" s="239"/>
      <c r="N1024" s="235"/>
      <c r="O1024" s="240"/>
      <c r="P1024" s="238"/>
      <c r="Q1024" s="240"/>
      <c r="R1024" s="241"/>
      <c r="S1024" s="240"/>
      <c r="T1024" s="240"/>
      <c r="U1024" s="66"/>
    </row>
    <row r="1025" spans="2:21" x14ac:dyDescent="0.25">
      <c r="B1025" s="66"/>
      <c r="C1025" s="235"/>
      <c r="D1025" s="236"/>
      <c r="E1025" s="237"/>
      <c r="F1025" s="238"/>
      <c r="G1025" s="235"/>
      <c r="H1025" s="235"/>
      <c r="I1025" s="205"/>
      <c r="J1025" s="205"/>
      <c r="K1025" s="205"/>
      <c r="L1025" s="205"/>
      <c r="M1025" s="239"/>
      <c r="N1025" s="235"/>
      <c r="O1025" s="240"/>
      <c r="P1025" s="238"/>
      <c r="Q1025" s="240"/>
      <c r="R1025" s="241"/>
      <c r="S1025" s="240"/>
      <c r="T1025" s="240"/>
      <c r="U1025" s="66"/>
    </row>
    <row r="1026" spans="2:21" x14ac:dyDescent="0.25">
      <c r="B1026" s="66"/>
      <c r="C1026" s="235"/>
      <c r="D1026" s="236"/>
      <c r="E1026" s="237"/>
      <c r="F1026" s="238"/>
      <c r="G1026" s="235"/>
      <c r="H1026" s="235"/>
      <c r="I1026" s="205"/>
      <c r="J1026" s="205"/>
      <c r="K1026" s="205"/>
      <c r="L1026" s="205"/>
      <c r="M1026" s="239"/>
      <c r="N1026" s="235"/>
      <c r="O1026" s="240"/>
      <c r="P1026" s="238"/>
      <c r="Q1026" s="240"/>
      <c r="R1026" s="241"/>
      <c r="S1026" s="240"/>
      <c r="T1026" s="240"/>
      <c r="U1026" s="66"/>
    </row>
    <row r="1027" spans="2:21" x14ac:dyDescent="0.25">
      <c r="B1027" s="66"/>
      <c r="C1027" s="235"/>
      <c r="D1027" s="236"/>
      <c r="E1027" s="237"/>
      <c r="F1027" s="238"/>
      <c r="G1027" s="235"/>
      <c r="H1027" s="235"/>
      <c r="I1027" s="205"/>
      <c r="J1027" s="205"/>
      <c r="K1027" s="205"/>
      <c r="L1027" s="205"/>
      <c r="M1027" s="239"/>
      <c r="N1027" s="235"/>
      <c r="O1027" s="240"/>
      <c r="P1027" s="238"/>
      <c r="Q1027" s="240"/>
      <c r="R1027" s="241"/>
      <c r="S1027" s="240"/>
      <c r="T1027" s="240"/>
      <c r="U1027" s="66"/>
    </row>
    <row r="1028" spans="2:21" x14ac:dyDescent="0.25">
      <c r="B1028" s="66"/>
      <c r="C1028" s="235"/>
      <c r="D1028" s="236"/>
      <c r="E1028" s="237"/>
      <c r="F1028" s="238"/>
      <c r="G1028" s="235"/>
      <c r="H1028" s="235"/>
      <c r="I1028" s="205"/>
      <c r="J1028" s="205"/>
      <c r="K1028" s="205"/>
      <c r="L1028" s="205"/>
      <c r="M1028" s="239"/>
      <c r="N1028" s="235"/>
      <c r="O1028" s="240"/>
      <c r="P1028" s="238"/>
      <c r="Q1028" s="240"/>
      <c r="R1028" s="241"/>
      <c r="S1028" s="240"/>
      <c r="T1028" s="240"/>
      <c r="U1028" s="66"/>
    </row>
    <row r="1029" spans="2:21" x14ac:dyDescent="0.25">
      <c r="B1029" s="66"/>
      <c r="C1029" s="235"/>
      <c r="D1029" s="236"/>
      <c r="E1029" s="237"/>
      <c r="F1029" s="238"/>
      <c r="G1029" s="235"/>
      <c r="H1029" s="235"/>
      <c r="I1029" s="205"/>
      <c r="J1029" s="205"/>
      <c r="K1029" s="205"/>
      <c r="L1029" s="205"/>
      <c r="M1029" s="239"/>
      <c r="N1029" s="235"/>
      <c r="O1029" s="240"/>
      <c r="P1029" s="238"/>
      <c r="Q1029" s="240"/>
      <c r="R1029" s="241"/>
      <c r="S1029" s="240"/>
      <c r="T1029" s="240"/>
      <c r="U1029" s="66"/>
    </row>
    <row r="1030" spans="2:21" x14ac:dyDescent="0.25">
      <c r="B1030" s="66"/>
      <c r="C1030" s="235"/>
      <c r="D1030" s="236"/>
      <c r="E1030" s="237"/>
      <c r="F1030" s="238"/>
      <c r="G1030" s="235"/>
      <c r="H1030" s="235"/>
      <c r="I1030" s="205"/>
      <c r="J1030" s="205"/>
      <c r="K1030" s="205"/>
      <c r="L1030" s="205"/>
      <c r="M1030" s="239"/>
      <c r="N1030" s="235"/>
      <c r="O1030" s="240"/>
      <c r="P1030" s="238"/>
      <c r="Q1030" s="240"/>
      <c r="R1030" s="241"/>
      <c r="S1030" s="240"/>
      <c r="T1030" s="240"/>
      <c r="U1030" s="66"/>
    </row>
    <row r="1031" spans="2:21" x14ac:dyDescent="0.25">
      <c r="B1031" s="66"/>
      <c r="C1031" s="235"/>
      <c r="D1031" s="236"/>
      <c r="E1031" s="237"/>
      <c r="F1031" s="238"/>
      <c r="G1031" s="235"/>
      <c r="H1031" s="235"/>
      <c r="I1031" s="205"/>
      <c r="J1031" s="205"/>
      <c r="K1031" s="205"/>
      <c r="L1031" s="205"/>
      <c r="M1031" s="239"/>
      <c r="N1031" s="235"/>
      <c r="O1031" s="240"/>
      <c r="P1031" s="238"/>
      <c r="Q1031" s="240"/>
      <c r="R1031" s="241"/>
      <c r="S1031" s="240"/>
      <c r="T1031" s="240"/>
      <c r="U1031" s="66"/>
    </row>
    <row r="1032" spans="2:21" x14ac:dyDescent="0.25">
      <c r="B1032" s="66"/>
      <c r="C1032" s="235"/>
      <c r="D1032" s="236"/>
      <c r="E1032" s="237"/>
      <c r="F1032" s="238"/>
      <c r="G1032" s="235"/>
      <c r="H1032" s="235"/>
      <c r="I1032" s="205"/>
      <c r="J1032" s="205"/>
      <c r="K1032" s="205"/>
      <c r="L1032" s="205"/>
      <c r="M1032" s="239"/>
      <c r="N1032" s="235"/>
      <c r="O1032" s="240"/>
      <c r="P1032" s="238"/>
      <c r="Q1032" s="240"/>
      <c r="R1032" s="241"/>
      <c r="S1032" s="240"/>
      <c r="T1032" s="240"/>
      <c r="U1032" s="66"/>
    </row>
    <row r="1033" spans="2:21" x14ac:dyDescent="0.25">
      <c r="B1033" s="66"/>
      <c r="C1033" s="235"/>
      <c r="D1033" s="236"/>
      <c r="E1033" s="237"/>
      <c r="F1033" s="238"/>
      <c r="G1033" s="235"/>
      <c r="H1033" s="235"/>
      <c r="I1033" s="205"/>
      <c r="J1033" s="205"/>
      <c r="K1033" s="205"/>
      <c r="L1033" s="205"/>
      <c r="M1033" s="239"/>
      <c r="N1033" s="235"/>
      <c r="O1033" s="240"/>
      <c r="P1033" s="238"/>
      <c r="Q1033" s="240"/>
      <c r="R1033" s="241"/>
      <c r="S1033" s="240"/>
      <c r="T1033" s="240"/>
      <c r="U1033" s="66"/>
    </row>
    <row r="1034" spans="2:21" x14ac:dyDescent="0.25">
      <c r="B1034" s="66"/>
      <c r="C1034" s="235"/>
      <c r="D1034" s="236"/>
      <c r="E1034" s="237"/>
      <c r="F1034" s="238"/>
      <c r="G1034" s="235"/>
      <c r="H1034" s="235"/>
      <c r="I1034" s="205"/>
      <c r="J1034" s="205"/>
      <c r="K1034" s="205"/>
      <c r="L1034" s="205"/>
      <c r="M1034" s="239"/>
      <c r="N1034" s="235"/>
      <c r="O1034" s="240"/>
      <c r="P1034" s="238"/>
      <c r="Q1034" s="240"/>
      <c r="R1034" s="241"/>
      <c r="S1034" s="240"/>
      <c r="T1034" s="240"/>
      <c r="U1034" s="66"/>
    </row>
    <row r="1035" spans="2:21" x14ac:dyDescent="0.25">
      <c r="B1035" s="66"/>
      <c r="C1035" s="235"/>
      <c r="D1035" s="236"/>
      <c r="E1035" s="237"/>
      <c r="F1035" s="238"/>
      <c r="G1035" s="235"/>
      <c r="H1035" s="235"/>
      <c r="I1035" s="205"/>
      <c r="J1035" s="205"/>
      <c r="K1035" s="205"/>
      <c r="L1035" s="205"/>
      <c r="M1035" s="239"/>
      <c r="N1035" s="235"/>
      <c r="O1035" s="240"/>
      <c r="P1035" s="238"/>
      <c r="Q1035" s="240"/>
      <c r="R1035" s="241"/>
      <c r="S1035" s="240"/>
      <c r="T1035" s="240"/>
      <c r="U1035" s="66"/>
    </row>
    <row r="1036" spans="2:21" x14ac:dyDescent="0.25">
      <c r="B1036" s="66"/>
      <c r="C1036" s="235"/>
      <c r="D1036" s="236"/>
      <c r="E1036" s="237"/>
      <c r="F1036" s="238"/>
      <c r="G1036" s="235"/>
      <c r="H1036" s="235"/>
      <c r="I1036" s="205"/>
      <c r="J1036" s="205"/>
      <c r="K1036" s="205"/>
      <c r="L1036" s="205"/>
      <c r="M1036" s="239"/>
      <c r="N1036" s="235"/>
      <c r="O1036" s="240"/>
      <c r="P1036" s="238"/>
      <c r="Q1036" s="240"/>
      <c r="R1036" s="241"/>
      <c r="S1036" s="240"/>
      <c r="T1036" s="240"/>
      <c r="U1036" s="66"/>
    </row>
    <row r="1037" spans="2:21" x14ac:dyDescent="0.25">
      <c r="B1037" s="66"/>
      <c r="C1037" s="235"/>
      <c r="D1037" s="236"/>
      <c r="E1037" s="237"/>
      <c r="F1037" s="238"/>
      <c r="G1037" s="235"/>
      <c r="H1037" s="235"/>
      <c r="I1037" s="205"/>
      <c r="J1037" s="205"/>
      <c r="K1037" s="205"/>
      <c r="L1037" s="205"/>
      <c r="M1037" s="239"/>
      <c r="N1037" s="235"/>
      <c r="O1037" s="240"/>
      <c r="P1037" s="238"/>
      <c r="Q1037" s="240"/>
      <c r="R1037" s="241"/>
      <c r="S1037" s="240"/>
      <c r="T1037" s="240"/>
      <c r="U1037" s="66"/>
    </row>
    <row r="1038" spans="2:21" x14ac:dyDescent="0.25">
      <c r="B1038" s="66"/>
      <c r="C1038" s="235"/>
      <c r="D1038" s="236"/>
      <c r="E1038" s="237"/>
      <c r="F1038" s="238"/>
      <c r="G1038" s="235"/>
      <c r="H1038" s="235"/>
      <c r="I1038" s="205"/>
      <c r="J1038" s="205"/>
      <c r="K1038" s="205"/>
      <c r="L1038" s="205"/>
      <c r="M1038" s="239"/>
      <c r="N1038" s="235"/>
      <c r="O1038" s="240"/>
      <c r="P1038" s="238"/>
      <c r="Q1038" s="240"/>
      <c r="R1038" s="241"/>
      <c r="S1038" s="240"/>
      <c r="T1038" s="240"/>
      <c r="U1038" s="66"/>
    </row>
    <row r="1039" spans="2:21" x14ac:dyDescent="0.25">
      <c r="B1039" s="66"/>
      <c r="C1039" s="235"/>
      <c r="D1039" s="236"/>
      <c r="E1039" s="237"/>
      <c r="F1039" s="238"/>
      <c r="G1039" s="235"/>
      <c r="H1039" s="235"/>
      <c r="I1039" s="205"/>
      <c r="J1039" s="205"/>
      <c r="K1039" s="205"/>
      <c r="L1039" s="205"/>
      <c r="M1039" s="239"/>
      <c r="N1039" s="235"/>
      <c r="O1039" s="240"/>
      <c r="P1039" s="238"/>
      <c r="Q1039" s="240"/>
      <c r="R1039" s="241"/>
      <c r="S1039" s="240"/>
      <c r="T1039" s="240"/>
      <c r="U1039" s="66"/>
    </row>
    <row r="1040" spans="2:21" x14ac:dyDescent="0.25">
      <c r="B1040" s="66"/>
      <c r="C1040" s="235"/>
      <c r="D1040" s="236"/>
      <c r="E1040" s="237"/>
      <c r="F1040" s="238"/>
      <c r="G1040" s="235"/>
      <c r="H1040" s="235"/>
      <c r="I1040" s="205"/>
      <c r="J1040" s="205"/>
      <c r="K1040" s="205"/>
      <c r="L1040" s="205"/>
      <c r="M1040" s="239"/>
      <c r="N1040" s="235"/>
      <c r="O1040" s="240"/>
      <c r="P1040" s="238"/>
      <c r="Q1040" s="240"/>
      <c r="R1040" s="241"/>
      <c r="S1040" s="240"/>
      <c r="T1040" s="240"/>
      <c r="U1040" s="66"/>
    </row>
    <row r="1041" spans="2:21" x14ac:dyDescent="0.25">
      <c r="B1041" s="66"/>
      <c r="C1041" s="235"/>
      <c r="D1041" s="236"/>
      <c r="E1041" s="237"/>
      <c r="F1041" s="238"/>
      <c r="G1041" s="235"/>
      <c r="H1041" s="235"/>
      <c r="I1041" s="205"/>
      <c r="J1041" s="205"/>
      <c r="K1041" s="205"/>
      <c r="L1041" s="205"/>
      <c r="M1041" s="239"/>
      <c r="N1041" s="235"/>
      <c r="O1041" s="240"/>
      <c r="P1041" s="238"/>
      <c r="Q1041" s="240"/>
      <c r="R1041" s="241"/>
      <c r="S1041" s="240"/>
      <c r="T1041" s="240"/>
      <c r="U1041" s="66"/>
    </row>
    <row r="1042" spans="2:21" x14ac:dyDescent="0.25">
      <c r="B1042" s="66"/>
      <c r="C1042" s="235"/>
      <c r="D1042" s="236"/>
      <c r="E1042" s="237"/>
      <c r="F1042" s="238"/>
      <c r="G1042" s="235"/>
      <c r="H1042" s="235"/>
      <c r="I1042" s="205"/>
      <c r="J1042" s="205"/>
      <c r="K1042" s="205"/>
      <c r="L1042" s="205"/>
      <c r="M1042" s="239"/>
      <c r="N1042" s="235"/>
      <c r="O1042" s="240"/>
      <c r="P1042" s="238"/>
      <c r="Q1042" s="240"/>
      <c r="R1042" s="241"/>
      <c r="S1042" s="240"/>
      <c r="T1042" s="240"/>
      <c r="U1042" s="66"/>
    </row>
    <row r="1043" spans="2:21" x14ac:dyDescent="0.25">
      <c r="B1043" s="66"/>
      <c r="C1043" s="235"/>
      <c r="D1043" s="236"/>
      <c r="E1043" s="237"/>
      <c r="F1043" s="238"/>
      <c r="G1043" s="235"/>
      <c r="H1043" s="235"/>
      <c r="I1043" s="205"/>
      <c r="J1043" s="205"/>
      <c r="K1043" s="205"/>
      <c r="L1043" s="205"/>
      <c r="M1043" s="239"/>
      <c r="N1043" s="235"/>
      <c r="O1043" s="240"/>
      <c r="P1043" s="238"/>
      <c r="Q1043" s="240"/>
      <c r="R1043" s="241"/>
      <c r="S1043" s="240"/>
      <c r="T1043" s="240"/>
      <c r="U1043" s="66"/>
    </row>
    <row r="1044" spans="2:21" x14ac:dyDescent="0.25">
      <c r="B1044" s="66"/>
      <c r="C1044" s="235"/>
      <c r="D1044" s="236"/>
      <c r="E1044" s="237"/>
      <c r="F1044" s="238"/>
      <c r="G1044" s="235"/>
      <c r="H1044" s="235"/>
      <c r="I1044" s="205"/>
      <c r="J1044" s="205"/>
      <c r="K1044" s="205"/>
      <c r="L1044" s="205"/>
      <c r="M1044" s="239"/>
      <c r="N1044" s="235"/>
      <c r="O1044" s="240"/>
      <c r="P1044" s="238"/>
      <c r="Q1044" s="240"/>
      <c r="R1044" s="241"/>
      <c r="S1044" s="240"/>
      <c r="T1044" s="240"/>
      <c r="U1044" s="66"/>
    </row>
    <row r="1045" spans="2:21" x14ac:dyDescent="0.25">
      <c r="B1045" s="66"/>
      <c r="C1045" s="235"/>
      <c r="D1045" s="236"/>
      <c r="E1045" s="237"/>
      <c r="F1045" s="238"/>
      <c r="G1045" s="235"/>
      <c r="H1045" s="235"/>
      <c r="I1045" s="205"/>
      <c r="J1045" s="205"/>
      <c r="K1045" s="205"/>
      <c r="L1045" s="205"/>
      <c r="M1045" s="239"/>
      <c r="N1045" s="235"/>
      <c r="O1045" s="240"/>
      <c r="P1045" s="238"/>
      <c r="Q1045" s="240"/>
      <c r="R1045" s="241"/>
      <c r="S1045" s="240"/>
      <c r="T1045" s="240"/>
      <c r="U1045" s="66"/>
    </row>
    <row r="1046" spans="2:21" x14ac:dyDescent="0.25">
      <c r="B1046" s="66"/>
      <c r="C1046" s="235"/>
      <c r="D1046" s="236"/>
      <c r="E1046" s="237"/>
      <c r="F1046" s="238"/>
      <c r="G1046" s="235"/>
      <c r="H1046" s="235"/>
      <c r="I1046" s="205"/>
      <c r="J1046" s="205"/>
      <c r="K1046" s="205"/>
      <c r="L1046" s="205"/>
      <c r="M1046" s="239"/>
      <c r="N1046" s="235"/>
      <c r="O1046" s="240"/>
      <c r="P1046" s="238"/>
      <c r="Q1046" s="240"/>
      <c r="R1046" s="241"/>
      <c r="S1046" s="240"/>
      <c r="T1046" s="240"/>
      <c r="U1046" s="66"/>
    </row>
    <row r="1047" spans="2:21" x14ac:dyDescent="0.25">
      <c r="B1047" s="66"/>
      <c r="C1047" s="235"/>
      <c r="D1047" s="236"/>
      <c r="E1047" s="237"/>
      <c r="F1047" s="238"/>
      <c r="G1047" s="235"/>
      <c r="H1047" s="235"/>
      <c r="I1047" s="205"/>
      <c r="J1047" s="205"/>
      <c r="K1047" s="205"/>
      <c r="L1047" s="205"/>
      <c r="M1047" s="239"/>
      <c r="N1047" s="235"/>
      <c r="O1047" s="240"/>
      <c r="P1047" s="238"/>
      <c r="Q1047" s="240"/>
      <c r="R1047" s="241"/>
      <c r="S1047" s="240"/>
      <c r="T1047" s="240"/>
      <c r="U1047" s="66"/>
    </row>
    <row r="1048" spans="2:21" x14ac:dyDescent="0.25">
      <c r="B1048" s="66"/>
      <c r="C1048" s="235"/>
      <c r="D1048" s="236"/>
      <c r="E1048" s="237"/>
      <c r="F1048" s="238"/>
      <c r="G1048" s="235"/>
      <c r="H1048" s="235"/>
      <c r="I1048" s="205"/>
      <c r="J1048" s="205"/>
      <c r="K1048" s="205"/>
      <c r="L1048" s="205"/>
      <c r="M1048" s="239"/>
      <c r="N1048" s="235"/>
      <c r="O1048" s="240"/>
      <c r="P1048" s="238"/>
      <c r="Q1048" s="240"/>
      <c r="R1048" s="241"/>
      <c r="S1048" s="240"/>
      <c r="T1048" s="240"/>
      <c r="U1048" s="66"/>
    </row>
    <row r="1049" spans="2:21" x14ac:dyDescent="0.25">
      <c r="B1049" s="66"/>
      <c r="C1049" s="235"/>
      <c r="D1049" s="236"/>
      <c r="E1049" s="237"/>
      <c r="F1049" s="238"/>
      <c r="G1049" s="235"/>
      <c r="H1049" s="235"/>
      <c r="I1049" s="205"/>
      <c r="J1049" s="205"/>
      <c r="K1049" s="205"/>
      <c r="L1049" s="205"/>
      <c r="M1049" s="239"/>
      <c r="N1049" s="235"/>
      <c r="O1049" s="240"/>
      <c r="P1049" s="238"/>
      <c r="Q1049" s="240"/>
      <c r="R1049" s="241"/>
      <c r="S1049" s="240"/>
      <c r="T1049" s="240"/>
      <c r="U1049" s="66"/>
    </row>
    <row r="1050" spans="2:21" x14ac:dyDescent="0.25">
      <c r="B1050" s="66"/>
      <c r="C1050" s="235"/>
      <c r="D1050" s="236"/>
      <c r="E1050" s="237"/>
      <c r="F1050" s="238"/>
      <c r="G1050" s="235"/>
      <c r="H1050" s="235"/>
      <c r="I1050" s="205"/>
      <c r="J1050" s="205"/>
      <c r="K1050" s="205"/>
      <c r="L1050" s="205"/>
      <c r="M1050" s="239"/>
      <c r="N1050" s="235"/>
      <c r="O1050" s="240"/>
      <c r="P1050" s="238"/>
      <c r="Q1050" s="240"/>
      <c r="R1050" s="241"/>
      <c r="S1050" s="240"/>
      <c r="T1050" s="240"/>
      <c r="U1050" s="66"/>
    </row>
    <row r="1051" spans="2:21" x14ac:dyDescent="0.25">
      <c r="B1051" s="66"/>
      <c r="C1051" s="235"/>
      <c r="D1051" s="236"/>
      <c r="E1051" s="237"/>
      <c r="F1051" s="238"/>
      <c r="G1051" s="235"/>
      <c r="H1051" s="235"/>
      <c r="I1051" s="205"/>
      <c r="J1051" s="205"/>
      <c r="K1051" s="205"/>
      <c r="L1051" s="205"/>
      <c r="M1051" s="239"/>
      <c r="N1051" s="235"/>
      <c r="O1051" s="240"/>
      <c r="P1051" s="238"/>
      <c r="Q1051" s="240"/>
      <c r="R1051" s="241"/>
      <c r="S1051" s="240"/>
      <c r="T1051" s="240"/>
      <c r="U1051" s="66"/>
    </row>
    <row r="1052" spans="2:21" x14ac:dyDescent="0.25">
      <c r="B1052" s="66"/>
      <c r="C1052" s="235"/>
      <c r="D1052" s="236"/>
      <c r="E1052" s="237"/>
      <c r="F1052" s="238"/>
      <c r="G1052" s="235"/>
      <c r="H1052" s="235"/>
      <c r="I1052" s="205"/>
      <c r="J1052" s="205"/>
      <c r="K1052" s="205"/>
      <c r="L1052" s="205"/>
      <c r="M1052" s="239"/>
      <c r="N1052" s="235"/>
      <c r="O1052" s="240"/>
      <c r="P1052" s="238"/>
      <c r="Q1052" s="240"/>
      <c r="R1052" s="241"/>
      <c r="S1052" s="240"/>
      <c r="T1052" s="240"/>
      <c r="U1052" s="66"/>
    </row>
    <row r="1053" spans="2:21" x14ac:dyDescent="0.25">
      <c r="B1053" s="66"/>
      <c r="C1053" s="235"/>
      <c r="D1053" s="236"/>
      <c r="E1053" s="237"/>
      <c r="F1053" s="238"/>
      <c r="G1053" s="235"/>
      <c r="H1053" s="235"/>
      <c r="I1053" s="205"/>
      <c r="J1053" s="205"/>
      <c r="K1053" s="205"/>
      <c r="L1053" s="205"/>
      <c r="M1053" s="239"/>
      <c r="N1053" s="235"/>
      <c r="O1053" s="240"/>
      <c r="P1053" s="238"/>
      <c r="Q1053" s="240"/>
      <c r="R1053" s="241"/>
      <c r="S1053" s="240"/>
      <c r="T1053" s="240"/>
      <c r="U1053" s="66"/>
    </row>
    <row r="1054" spans="2:21" x14ac:dyDescent="0.25">
      <c r="B1054" s="66"/>
      <c r="C1054" s="235"/>
      <c r="D1054" s="236"/>
      <c r="E1054" s="237"/>
      <c r="F1054" s="238"/>
      <c r="G1054" s="235"/>
      <c r="H1054" s="235"/>
      <c r="I1054" s="205"/>
      <c r="J1054" s="205"/>
      <c r="K1054" s="205"/>
      <c r="L1054" s="205"/>
      <c r="M1054" s="239"/>
      <c r="N1054" s="235"/>
      <c r="O1054" s="240"/>
      <c r="P1054" s="238"/>
      <c r="Q1054" s="240"/>
      <c r="R1054" s="241"/>
      <c r="S1054" s="240"/>
      <c r="T1054" s="240"/>
      <c r="U1054" s="66"/>
    </row>
    <row r="1055" spans="2:21" x14ac:dyDescent="0.25">
      <c r="B1055" s="66"/>
      <c r="C1055" s="235"/>
      <c r="D1055" s="236"/>
      <c r="E1055" s="237"/>
      <c r="F1055" s="238"/>
      <c r="G1055" s="235"/>
      <c r="H1055" s="235"/>
      <c r="I1055" s="205"/>
      <c r="J1055" s="205"/>
      <c r="K1055" s="205"/>
      <c r="L1055" s="205"/>
      <c r="M1055" s="239"/>
      <c r="N1055" s="235"/>
      <c r="O1055" s="240"/>
      <c r="P1055" s="238"/>
      <c r="Q1055" s="240"/>
      <c r="R1055" s="241"/>
      <c r="S1055" s="240"/>
      <c r="T1055" s="240"/>
      <c r="U1055" s="66"/>
    </row>
    <row r="1056" spans="2:21" x14ac:dyDescent="0.25">
      <c r="B1056" s="66"/>
      <c r="C1056" s="235"/>
      <c r="D1056" s="236"/>
      <c r="E1056" s="237"/>
      <c r="F1056" s="238"/>
      <c r="G1056" s="235"/>
      <c r="H1056" s="235"/>
      <c r="I1056" s="205"/>
      <c r="J1056" s="205"/>
      <c r="K1056" s="205"/>
      <c r="L1056" s="205"/>
      <c r="M1056" s="239"/>
      <c r="N1056" s="235"/>
      <c r="O1056" s="240"/>
      <c r="P1056" s="238"/>
      <c r="Q1056" s="240"/>
      <c r="R1056" s="241"/>
      <c r="S1056" s="240"/>
      <c r="T1056" s="240"/>
      <c r="U1056" s="66"/>
    </row>
    <row r="1057" spans="2:21" x14ac:dyDescent="0.25">
      <c r="B1057" s="66"/>
      <c r="C1057" s="235"/>
      <c r="D1057" s="236"/>
      <c r="E1057" s="237"/>
      <c r="F1057" s="238"/>
      <c r="G1057" s="235"/>
      <c r="H1057" s="235"/>
      <c r="I1057" s="205"/>
      <c r="J1057" s="205"/>
      <c r="K1057" s="205"/>
      <c r="L1057" s="205"/>
      <c r="M1057" s="239"/>
      <c r="N1057" s="235"/>
      <c r="O1057" s="240"/>
      <c r="P1057" s="238"/>
      <c r="Q1057" s="240"/>
      <c r="R1057" s="241"/>
      <c r="S1057" s="240"/>
      <c r="T1057" s="240"/>
      <c r="U1057" s="66"/>
    </row>
    <row r="1058" spans="2:21" x14ac:dyDescent="0.25">
      <c r="B1058" s="66"/>
      <c r="C1058" s="235"/>
      <c r="D1058" s="236"/>
      <c r="E1058" s="237"/>
      <c r="F1058" s="238"/>
      <c r="G1058" s="235"/>
      <c r="H1058" s="235"/>
      <c r="I1058" s="205"/>
      <c r="J1058" s="205"/>
      <c r="K1058" s="205"/>
      <c r="L1058" s="205"/>
      <c r="M1058" s="239"/>
      <c r="N1058" s="235"/>
      <c r="O1058" s="240"/>
      <c r="P1058" s="238"/>
      <c r="Q1058" s="240"/>
      <c r="R1058" s="241"/>
      <c r="S1058" s="240"/>
      <c r="T1058" s="240"/>
      <c r="U1058" s="66"/>
    </row>
    <row r="1059" spans="2:21" x14ac:dyDescent="0.25">
      <c r="B1059" s="66"/>
      <c r="C1059" s="235"/>
      <c r="D1059" s="236"/>
      <c r="E1059" s="237"/>
      <c r="F1059" s="238"/>
      <c r="G1059" s="235"/>
      <c r="H1059" s="235"/>
      <c r="I1059" s="205"/>
      <c r="J1059" s="205"/>
      <c r="K1059" s="205"/>
      <c r="L1059" s="205"/>
      <c r="M1059" s="239"/>
      <c r="N1059" s="235"/>
      <c r="O1059" s="240"/>
      <c r="P1059" s="238"/>
      <c r="Q1059" s="240"/>
      <c r="R1059" s="241"/>
      <c r="S1059" s="240"/>
      <c r="T1059" s="240"/>
      <c r="U1059" s="66"/>
    </row>
    <row r="1060" spans="2:21" x14ac:dyDescent="0.25">
      <c r="B1060" s="66"/>
      <c r="C1060" s="235"/>
      <c r="D1060" s="236"/>
      <c r="E1060" s="237"/>
      <c r="F1060" s="238"/>
      <c r="G1060" s="235"/>
      <c r="H1060" s="235"/>
      <c r="I1060" s="205"/>
      <c r="J1060" s="205"/>
      <c r="K1060" s="205"/>
      <c r="L1060" s="205"/>
      <c r="M1060" s="239"/>
      <c r="N1060" s="235"/>
      <c r="O1060" s="240"/>
      <c r="P1060" s="238"/>
      <c r="Q1060" s="240"/>
      <c r="R1060" s="241"/>
      <c r="S1060" s="240"/>
      <c r="T1060" s="240"/>
      <c r="U1060" s="66"/>
    </row>
    <row r="1061" spans="2:21" x14ac:dyDescent="0.25">
      <c r="B1061" s="66"/>
      <c r="C1061" s="235"/>
      <c r="D1061" s="236"/>
      <c r="E1061" s="237"/>
      <c r="F1061" s="238"/>
      <c r="G1061" s="235"/>
      <c r="H1061" s="235"/>
      <c r="I1061" s="205"/>
      <c r="J1061" s="205"/>
      <c r="K1061" s="205"/>
      <c r="L1061" s="205"/>
      <c r="M1061" s="239"/>
      <c r="N1061" s="235"/>
      <c r="O1061" s="240"/>
      <c r="P1061" s="238"/>
      <c r="Q1061" s="240"/>
      <c r="R1061" s="241"/>
      <c r="S1061" s="240"/>
      <c r="T1061" s="240"/>
      <c r="U1061" s="66"/>
    </row>
    <row r="1062" spans="2:21" x14ac:dyDescent="0.25">
      <c r="B1062" s="66"/>
      <c r="C1062" s="235"/>
      <c r="D1062" s="236"/>
      <c r="E1062" s="237"/>
      <c r="F1062" s="238"/>
      <c r="G1062" s="235"/>
      <c r="H1062" s="235"/>
      <c r="I1062" s="205"/>
      <c r="J1062" s="205"/>
      <c r="K1062" s="205"/>
      <c r="L1062" s="205"/>
      <c r="M1062" s="239"/>
      <c r="N1062" s="235"/>
      <c r="O1062" s="240"/>
      <c r="P1062" s="238"/>
      <c r="Q1062" s="240"/>
      <c r="R1062" s="241"/>
      <c r="S1062" s="240"/>
      <c r="T1062" s="240"/>
      <c r="U1062" s="66"/>
    </row>
    <row r="1063" spans="2:21" x14ac:dyDescent="0.25">
      <c r="B1063" s="66"/>
      <c r="C1063" s="235"/>
      <c r="D1063" s="236"/>
      <c r="E1063" s="237"/>
      <c r="F1063" s="238"/>
      <c r="G1063" s="235"/>
      <c r="H1063" s="235"/>
      <c r="I1063" s="205"/>
      <c r="J1063" s="205"/>
      <c r="K1063" s="205"/>
      <c r="L1063" s="205"/>
      <c r="M1063" s="239"/>
      <c r="N1063" s="235"/>
      <c r="O1063" s="240"/>
      <c r="P1063" s="238"/>
      <c r="Q1063" s="240"/>
      <c r="R1063" s="241"/>
      <c r="S1063" s="240"/>
      <c r="T1063" s="240"/>
      <c r="U1063" s="66"/>
    </row>
    <row r="1064" spans="2:21" x14ac:dyDescent="0.25">
      <c r="B1064" s="66"/>
      <c r="C1064" s="235"/>
      <c r="D1064" s="236"/>
      <c r="E1064" s="237"/>
      <c r="F1064" s="238"/>
      <c r="G1064" s="235"/>
      <c r="H1064" s="235"/>
      <c r="I1064" s="205"/>
      <c r="J1064" s="205"/>
      <c r="K1064" s="205"/>
      <c r="L1064" s="205"/>
      <c r="M1064" s="239"/>
      <c r="N1064" s="235"/>
      <c r="O1064" s="240"/>
      <c r="P1064" s="238"/>
      <c r="Q1064" s="240"/>
      <c r="R1064" s="241"/>
      <c r="S1064" s="240"/>
      <c r="T1064" s="240"/>
      <c r="U1064" s="66"/>
    </row>
    <row r="1065" spans="2:21" x14ac:dyDescent="0.25">
      <c r="B1065" s="66"/>
      <c r="C1065" s="235"/>
      <c r="D1065" s="236"/>
      <c r="E1065" s="237"/>
      <c r="F1065" s="238"/>
      <c r="G1065" s="235"/>
      <c r="H1065" s="235"/>
      <c r="I1065" s="205"/>
      <c r="J1065" s="205"/>
      <c r="K1065" s="205"/>
      <c r="L1065" s="205"/>
      <c r="M1065" s="239"/>
      <c r="N1065" s="235"/>
      <c r="O1065" s="240"/>
      <c r="P1065" s="238"/>
      <c r="Q1065" s="240"/>
      <c r="R1065" s="241"/>
      <c r="S1065" s="240"/>
      <c r="T1065" s="240"/>
      <c r="U1065" s="66"/>
    </row>
    <row r="1066" spans="2:21" x14ac:dyDescent="0.25">
      <c r="B1066" s="66"/>
      <c r="C1066" s="235"/>
      <c r="D1066" s="236"/>
      <c r="E1066" s="237"/>
      <c r="F1066" s="238"/>
      <c r="G1066" s="235"/>
      <c r="H1066" s="235"/>
      <c r="I1066" s="205"/>
      <c r="J1066" s="205"/>
      <c r="K1066" s="205"/>
      <c r="L1066" s="205"/>
      <c r="M1066" s="239"/>
      <c r="N1066" s="235"/>
      <c r="O1066" s="240"/>
      <c r="P1066" s="238"/>
      <c r="Q1066" s="240"/>
      <c r="R1066" s="241"/>
      <c r="S1066" s="240"/>
      <c r="T1066" s="240"/>
      <c r="U1066" s="66"/>
    </row>
    <row r="1067" spans="2:21" x14ac:dyDescent="0.25">
      <c r="B1067" s="66"/>
      <c r="C1067" s="235"/>
      <c r="D1067" s="236"/>
      <c r="E1067" s="237"/>
      <c r="F1067" s="238"/>
      <c r="G1067" s="235"/>
      <c r="H1067" s="235"/>
      <c r="I1067" s="205"/>
      <c r="J1067" s="205"/>
      <c r="K1067" s="205"/>
      <c r="L1067" s="205"/>
      <c r="M1067" s="239"/>
      <c r="N1067" s="235"/>
      <c r="O1067" s="240"/>
      <c r="P1067" s="238"/>
      <c r="Q1067" s="240"/>
      <c r="R1067" s="241"/>
      <c r="S1067" s="240"/>
      <c r="T1067" s="240"/>
      <c r="U1067" s="66"/>
    </row>
    <row r="1068" spans="2:21" x14ac:dyDescent="0.25">
      <c r="B1068" s="66"/>
      <c r="C1068" s="235"/>
      <c r="D1068" s="236"/>
      <c r="E1068" s="237"/>
      <c r="F1068" s="238"/>
      <c r="G1068" s="235"/>
      <c r="H1068" s="235"/>
      <c r="I1068" s="205"/>
      <c r="J1068" s="205"/>
      <c r="K1068" s="205"/>
      <c r="L1068" s="205"/>
      <c r="M1068" s="239"/>
      <c r="N1068" s="235"/>
      <c r="O1068" s="240"/>
      <c r="P1068" s="238"/>
      <c r="Q1068" s="240"/>
      <c r="R1068" s="241"/>
      <c r="S1068" s="240"/>
      <c r="T1068" s="240"/>
      <c r="U1068" s="66"/>
    </row>
    <row r="1069" spans="2:21" x14ac:dyDescent="0.25">
      <c r="B1069" s="66"/>
      <c r="C1069" s="235"/>
      <c r="D1069" s="236"/>
      <c r="E1069" s="237"/>
      <c r="F1069" s="238"/>
      <c r="G1069" s="235"/>
      <c r="H1069" s="235"/>
      <c r="I1069" s="205"/>
      <c r="J1069" s="205"/>
      <c r="K1069" s="205"/>
      <c r="L1069" s="205"/>
      <c r="M1069" s="239"/>
      <c r="N1069" s="235"/>
      <c r="O1069" s="240"/>
      <c r="P1069" s="238"/>
      <c r="Q1069" s="240"/>
      <c r="R1069" s="241"/>
      <c r="S1069" s="240"/>
      <c r="T1069" s="240"/>
      <c r="U1069" s="66"/>
    </row>
    <row r="1070" spans="2:21" x14ac:dyDescent="0.25">
      <c r="B1070" s="66"/>
      <c r="C1070" s="235"/>
      <c r="D1070" s="236"/>
      <c r="E1070" s="237"/>
      <c r="F1070" s="238"/>
      <c r="G1070" s="235"/>
      <c r="H1070" s="235"/>
      <c r="I1070" s="205"/>
      <c r="J1070" s="205"/>
      <c r="K1070" s="205"/>
      <c r="L1070" s="205"/>
      <c r="M1070" s="239"/>
      <c r="N1070" s="235"/>
      <c r="O1070" s="240"/>
      <c r="P1070" s="238"/>
      <c r="Q1070" s="240"/>
      <c r="R1070" s="241"/>
      <c r="S1070" s="240"/>
      <c r="T1070" s="240"/>
      <c r="U1070" s="66"/>
    </row>
    <row r="1071" spans="2:21" x14ac:dyDescent="0.25">
      <c r="B1071" s="66"/>
      <c r="C1071" s="235"/>
      <c r="D1071" s="236"/>
      <c r="E1071" s="237"/>
      <c r="F1071" s="238"/>
      <c r="G1071" s="235"/>
      <c r="H1071" s="235"/>
      <c r="I1071" s="205"/>
      <c r="J1071" s="205"/>
      <c r="K1071" s="205"/>
      <c r="L1071" s="205"/>
      <c r="M1071" s="239"/>
      <c r="N1071" s="235"/>
      <c r="O1071" s="240"/>
      <c r="P1071" s="238"/>
      <c r="Q1071" s="240"/>
      <c r="R1071" s="241"/>
      <c r="S1071" s="240"/>
      <c r="T1071" s="240"/>
      <c r="U1071" s="66"/>
    </row>
    <row r="1072" spans="2:21" x14ac:dyDescent="0.25">
      <c r="B1072" s="66"/>
      <c r="C1072" s="235"/>
      <c r="D1072" s="236"/>
      <c r="E1072" s="237"/>
      <c r="F1072" s="238"/>
      <c r="G1072" s="235"/>
      <c r="H1072" s="235"/>
      <c r="I1072" s="205"/>
      <c r="J1072" s="205"/>
      <c r="K1072" s="205"/>
      <c r="L1072" s="205"/>
      <c r="M1072" s="239"/>
      <c r="N1072" s="235"/>
      <c r="O1072" s="240"/>
      <c r="P1072" s="238"/>
      <c r="Q1072" s="240"/>
      <c r="R1072" s="241"/>
      <c r="S1072" s="240"/>
      <c r="T1072" s="240"/>
      <c r="U1072" s="66"/>
    </row>
    <row r="1073" spans="2:21" x14ac:dyDescent="0.25">
      <c r="B1073" s="66"/>
      <c r="C1073" s="235"/>
      <c r="D1073" s="236"/>
      <c r="E1073" s="237"/>
      <c r="F1073" s="238"/>
      <c r="G1073" s="235"/>
      <c r="H1073" s="235"/>
      <c r="I1073" s="205"/>
      <c r="J1073" s="205"/>
      <c r="K1073" s="205"/>
      <c r="L1073" s="205"/>
      <c r="M1073" s="239"/>
      <c r="N1073" s="235"/>
      <c r="O1073" s="240"/>
      <c r="P1073" s="238"/>
      <c r="Q1073" s="240"/>
      <c r="R1073" s="241"/>
      <c r="S1073" s="240"/>
      <c r="T1073" s="240"/>
      <c r="U1073" s="66"/>
    </row>
    <row r="1074" spans="2:21" x14ac:dyDescent="0.25">
      <c r="B1074" s="66"/>
      <c r="C1074" s="235"/>
      <c r="D1074" s="236"/>
      <c r="E1074" s="237"/>
      <c r="F1074" s="238"/>
      <c r="G1074" s="235"/>
      <c r="H1074" s="235"/>
      <c r="I1074" s="205"/>
      <c r="J1074" s="205"/>
      <c r="K1074" s="205"/>
      <c r="L1074" s="205"/>
      <c r="M1074" s="239"/>
      <c r="N1074" s="235"/>
      <c r="O1074" s="240"/>
      <c r="P1074" s="238"/>
      <c r="Q1074" s="240"/>
      <c r="R1074" s="241"/>
      <c r="S1074" s="240"/>
      <c r="T1074" s="240"/>
      <c r="U1074" s="66"/>
    </row>
    <row r="1075" spans="2:21" x14ac:dyDescent="0.25">
      <c r="B1075" s="66"/>
      <c r="C1075" s="235"/>
      <c r="D1075" s="236"/>
      <c r="E1075" s="237"/>
      <c r="F1075" s="238"/>
      <c r="G1075" s="235"/>
      <c r="H1075" s="235"/>
      <c r="I1075" s="205"/>
      <c r="J1075" s="205"/>
      <c r="K1075" s="205"/>
      <c r="L1075" s="205"/>
      <c r="M1075" s="239"/>
      <c r="N1075" s="235"/>
      <c r="O1075" s="240"/>
      <c r="P1075" s="238"/>
      <c r="Q1075" s="240"/>
      <c r="R1075" s="241"/>
      <c r="S1075" s="240"/>
      <c r="T1075" s="240"/>
      <c r="U1075" s="66"/>
    </row>
    <row r="1076" spans="2:21" x14ac:dyDescent="0.25">
      <c r="B1076" s="66"/>
      <c r="C1076" s="235"/>
      <c r="D1076" s="236"/>
      <c r="E1076" s="237"/>
      <c r="F1076" s="238"/>
      <c r="G1076" s="235"/>
      <c r="H1076" s="235"/>
      <c r="I1076" s="205"/>
      <c r="J1076" s="205"/>
      <c r="K1076" s="205"/>
      <c r="L1076" s="205"/>
      <c r="M1076" s="239"/>
      <c r="N1076" s="235"/>
      <c r="O1076" s="240"/>
      <c r="P1076" s="238"/>
      <c r="Q1076" s="240"/>
      <c r="R1076" s="241"/>
      <c r="S1076" s="240"/>
      <c r="T1076" s="240"/>
      <c r="U1076" s="66"/>
    </row>
    <row r="1077" spans="2:21" x14ac:dyDescent="0.25">
      <c r="B1077" s="66"/>
      <c r="C1077" s="235"/>
      <c r="D1077" s="236"/>
      <c r="E1077" s="237"/>
      <c r="F1077" s="238"/>
      <c r="G1077" s="235"/>
      <c r="H1077" s="235"/>
      <c r="I1077" s="205"/>
      <c r="J1077" s="205"/>
      <c r="K1077" s="205"/>
      <c r="L1077" s="205"/>
      <c r="M1077" s="239"/>
      <c r="N1077" s="235"/>
      <c r="O1077" s="240"/>
      <c r="P1077" s="238"/>
      <c r="Q1077" s="240"/>
      <c r="R1077" s="241"/>
      <c r="S1077" s="240"/>
      <c r="T1077" s="240"/>
      <c r="U1077" s="66"/>
    </row>
    <row r="1078" spans="2:21" x14ac:dyDescent="0.25">
      <c r="B1078" s="66"/>
      <c r="C1078" s="235"/>
      <c r="D1078" s="236"/>
      <c r="E1078" s="237"/>
      <c r="F1078" s="238"/>
      <c r="G1078" s="235"/>
      <c r="H1078" s="235"/>
      <c r="I1078" s="205"/>
      <c r="J1078" s="205"/>
      <c r="K1078" s="205"/>
      <c r="L1078" s="205"/>
      <c r="M1078" s="239"/>
      <c r="N1078" s="235"/>
      <c r="O1078" s="240"/>
      <c r="P1078" s="238"/>
      <c r="Q1078" s="240"/>
      <c r="R1078" s="241"/>
      <c r="S1078" s="240"/>
      <c r="T1078" s="240"/>
      <c r="U1078" s="66"/>
    </row>
    <row r="1079" spans="2:21" x14ac:dyDescent="0.25">
      <c r="B1079" s="66"/>
      <c r="C1079" s="235"/>
      <c r="D1079" s="236"/>
      <c r="E1079" s="237"/>
      <c r="F1079" s="238"/>
      <c r="G1079" s="235"/>
      <c r="H1079" s="235"/>
      <c r="I1079" s="205"/>
      <c r="J1079" s="205"/>
      <c r="K1079" s="205"/>
      <c r="L1079" s="205"/>
      <c r="M1079" s="239"/>
      <c r="N1079" s="235"/>
      <c r="O1079" s="240"/>
      <c r="P1079" s="238"/>
      <c r="Q1079" s="240"/>
      <c r="R1079" s="241"/>
      <c r="S1079" s="240"/>
      <c r="T1079" s="240"/>
      <c r="U1079" s="66"/>
    </row>
    <row r="1080" spans="2:21" x14ac:dyDescent="0.25">
      <c r="B1080" s="66"/>
      <c r="C1080" s="235"/>
      <c r="D1080" s="236"/>
      <c r="E1080" s="237"/>
      <c r="F1080" s="238"/>
      <c r="G1080" s="235"/>
      <c r="H1080" s="235"/>
      <c r="I1080" s="205"/>
      <c r="J1080" s="205"/>
      <c r="K1080" s="205"/>
      <c r="L1080" s="205"/>
      <c r="M1080" s="239"/>
      <c r="N1080" s="235"/>
      <c r="O1080" s="240"/>
      <c r="P1080" s="238"/>
      <c r="Q1080" s="240"/>
      <c r="R1080" s="241"/>
      <c r="S1080" s="240"/>
      <c r="T1080" s="240"/>
      <c r="U1080" s="66"/>
    </row>
    <row r="1081" spans="2:21" x14ac:dyDescent="0.25">
      <c r="B1081" s="66"/>
      <c r="C1081" s="235"/>
      <c r="D1081" s="236"/>
      <c r="E1081" s="237"/>
      <c r="F1081" s="238"/>
      <c r="G1081" s="235"/>
      <c r="H1081" s="235"/>
      <c r="I1081" s="205"/>
      <c r="J1081" s="205"/>
      <c r="K1081" s="205"/>
      <c r="L1081" s="205"/>
      <c r="M1081" s="239"/>
      <c r="N1081" s="235"/>
      <c r="O1081" s="240"/>
      <c r="P1081" s="238"/>
      <c r="Q1081" s="240"/>
      <c r="R1081" s="241"/>
      <c r="S1081" s="240"/>
      <c r="T1081" s="240"/>
      <c r="U1081" s="66"/>
    </row>
    <row r="1082" spans="2:21" x14ac:dyDescent="0.25">
      <c r="B1082" s="66"/>
      <c r="C1082" s="235"/>
      <c r="D1082" s="236"/>
      <c r="E1082" s="237"/>
      <c r="F1082" s="238"/>
      <c r="G1082" s="235"/>
      <c r="H1082" s="235"/>
      <c r="I1082" s="205"/>
      <c r="J1082" s="205"/>
      <c r="K1082" s="205"/>
      <c r="L1082" s="205"/>
      <c r="M1082" s="239"/>
      <c r="N1082" s="235"/>
      <c r="O1082" s="240"/>
      <c r="P1082" s="238"/>
      <c r="Q1082" s="240"/>
      <c r="R1082" s="241"/>
      <c r="S1082" s="240"/>
      <c r="T1082" s="240"/>
      <c r="U1082" s="66"/>
    </row>
    <row r="1083" spans="2:21" x14ac:dyDescent="0.25">
      <c r="B1083" s="66"/>
      <c r="C1083" s="235"/>
      <c r="D1083" s="236"/>
      <c r="E1083" s="237"/>
      <c r="F1083" s="238"/>
      <c r="G1083" s="235"/>
      <c r="H1083" s="235"/>
      <c r="I1083" s="205"/>
      <c r="J1083" s="205"/>
      <c r="K1083" s="205"/>
      <c r="L1083" s="205"/>
      <c r="M1083" s="239"/>
      <c r="N1083" s="235"/>
      <c r="O1083" s="240"/>
      <c r="P1083" s="238"/>
      <c r="Q1083" s="240"/>
      <c r="R1083" s="241"/>
      <c r="S1083" s="240"/>
      <c r="T1083" s="240"/>
      <c r="U1083" s="66"/>
    </row>
    <row r="1084" spans="2:21" x14ac:dyDescent="0.25">
      <c r="B1084" s="66"/>
      <c r="C1084" s="235"/>
      <c r="D1084" s="236"/>
      <c r="E1084" s="237"/>
      <c r="F1084" s="238"/>
      <c r="G1084" s="235"/>
      <c r="H1084" s="235"/>
      <c r="I1084" s="205"/>
      <c r="J1084" s="205"/>
      <c r="K1084" s="205"/>
      <c r="L1084" s="205"/>
      <c r="M1084" s="239"/>
      <c r="N1084" s="235"/>
      <c r="O1084" s="240"/>
      <c r="P1084" s="238"/>
      <c r="Q1084" s="240"/>
      <c r="R1084" s="241"/>
      <c r="S1084" s="240"/>
      <c r="T1084" s="240"/>
      <c r="U1084" s="66"/>
    </row>
    <row r="1085" spans="2:21" x14ac:dyDescent="0.25">
      <c r="B1085" s="66"/>
      <c r="C1085" s="235"/>
      <c r="D1085" s="236"/>
      <c r="E1085" s="237"/>
      <c r="F1085" s="238"/>
      <c r="G1085" s="235"/>
      <c r="H1085" s="235"/>
      <c r="I1085" s="205"/>
      <c r="J1085" s="205"/>
      <c r="K1085" s="205"/>
      <c r="L1085" s="205"/>
      <c r="M1085" s="239"/>
      <c r="N1085" s="235"/>
      <c r="O1085" s="240"/>
      <c r="P1085" s="238"/>
      <c r="Q1085" s="240"/>
      <c r="R1085" s="241"/>
      <c r="S1085" s="240"/>
      <c r="T1085" s="240"/>
      <c r="U1085" s="66"/>
    </row>
    <row r="1086" spans="2:21" x14ac:dyDescent="0.25">
      <c r="B1086" s="66"/>
      <c r="C1086" s="235"/>
      <c r="D1086" s="236"/>
      <c r="E1086" s="237"/>
      <c r="F1086" s="238"/>
      <c r="G1086" s="235"/>
      <c r="H1086" s="235"/>
      <c r="I1086" s="205"/>
      <c r="J1086" s="205"/>
      <c r="K1086" s="205"/>
      <c r="L1086" s="205"/>
      <c r="M1086" s="239"/>
      <c r="N1086" s="235"/>
      <c r="O1086" s="240"/>
      <c r="P1086" s="238"/>
      <c r="Q1086" s="240"/>
      <c r="R1086" s="241"/>
      <c r="S1086" s="240"/>
      <c r="T1086" s="240"/>
      <c r="U1086" s="66"/>
    </row>
    <row r="1087" spans="2:21" x14ac:dyDescent="0.25">
      <c r="B1087" s="66"/>
      <c r="C1087" s="235"/>
      <c r="D1087" s="236"/>
      <c r="E1087" s="237"/>
      <c r="F1087" s="238"/>
      <c r="G1087" s="235"/>
      <c r="H1087" s="235"/>
      <c r="I1087" s="205"/>
      <c r="J1087" s="205"/>
      <c r="K1087" s="205"/>
      <c r="L1087" s="205"/>
      <c r="M1087" s="239"/>
      <c r="N1087" s="235"/>
      <c r="O1087" s="240"/>
      <c r="P1087" s="238"/>
      <c r="Q1087" s="240"/>
      <c r="R1087" s="241"/>
      <c r="S1087" s="240"/>
      <c r="T1087" s="240"/>
      <c r="U1087" s="66"/>
    </row>
    <row r="1088" spans="2:21" x14ac:dyDescent="0.25">
      <c r="B1088" s="66"/>
      <c r="C1088" s="235"/>
      <c r="D1088" s="236"/>
      <c r="E1088" s="237"/>
      <c r="F1088" s="238"/>
      <c r="G1088" s="235"/>
      <c r="H1088" s="235"/>
      <c r="I1088" s="205"/>
      <c r="J1088" s="205"/>
      <c r="K1088" s="205"/>
      <c r="L1088" s="205"/>
      <c r="M1088" s="239"/>
      <c r="N1088" s="235"/>
      <c r="O1088" s="240"/>
      <c r="P1088" s="238"/>
      <c r="Q1088" s="240"/>
      <c r="R1088" s="241"/>
      <c r="S1088" s="240"/>
      <c r="T1088" s="240"/>
      <c r="U1088" s="66"/>
    </row>
    <row r="1089" spans="2:21" x14ac:dyDescent="0.25">
      <c r="B1089" s="66"/>
      <c r="C1089" s="235"/>
      <c r="D1089" s="236"/>
      <c r="E1089" s="237"/>
      <c r="F1089" s="238"/>
      <c r="G1089" s="235"/>
      <c r="H1089" s="235"/>
      <c r="I1089" s="205"/>
      <c r="J1089" s="205"/>
      <c r="K1089" s="205"/>
      <c r="L1089" s="205"/>
      <c r="M1089" s="239"/>
      <c r="N1089" s="235"/>
      <c r="O1089" s="240"/>
      <c r="P1089" s="238"/>
      <c r="Q1089" s="240"/>
      <c r="R1089" s="241"/>
      <c r="S1089" s="240"/>
      <c r="T1089" s="240"/>
      <c r="U1089" s="66"/>
    </row>
    <row r="1090" spans="2:21" x14ac:dyDescent="0.25">
      <c r="B1090" s="66"/>
      <c r="C1090" s="235"/>
      <c r="D1090" s="236"/>
      <c r="E1090" s="237"/>
      <c r="F1090" s="238"/>
      <c r="G1090" s="235"/>
      <c r="H1090" s="235"/>
      <c r="I1090" s="205"/>
      <c r="J1090" s="205"/>
      <c r="K1090" s="205"/>
      <c r="L1090" s="205"/>
      <c r="M1090" s="239"/>
      <c r="N1090" s="235"/>
      <c r="O1090" s="240"/>
      <c r="P1090" s="238"/>
      <c r="Q1090" s="240"/>
      <c r="R1090" s="241"/>
      <c r="S1090" s="240"/>
      <c r="T1090" s="240"/>
      <c r="U1090" s="66"/>
    </row>
    <row r="1091" spans="2:21" x14ac:dyDescent="0.25">
      <c r="B1091" s="66"/>
      <c r="C1091" s="235"/>
      <c r="D1091" s="236"/>
      <c r="E1091" s="237"/>
      <c r="F1091" s="238"/>
      <c r="G1091" s="235"/>
      <c r="H1091" s="235"/>
      <c r="I1091" s="205"/>
      <c r="J1091" s="205"/>
      <c r="K1091" s="205"/>
      <c r="L1091" s="205"/>
      <c r="M1091" s="239"/>
      <c r="N1091" s="235"/>
      <c r="O1091" s="240"/>
      <c r="P1091" s="238"/>
      <c r="Q1091" s="240"/>
      <c r="R1091" s="241"/>
      <c r="S1091" s="240"/>
      <c r="T1091" s="240"/>
      <c r="U1091" s="66"/>
    </row>
    <row r="1092" spans="2:21" x14ac:dyDescent="0.25">
      <c r="B1092" s="66"/>
      <c r="C1092" s="235"/>
      <c r="D1092" s="236"/>
      <c r="E1092" s="237"/>
      <c r="F1092" s="238"/>
      <c r="G1092" s="235"/>
      <c r="H1092" s="235"/>
      <c r="I1092" s="205"/>
      <c r="J1092" s="205"/>
      <c r="K1092" s="205"/>
      <c r="L1092" s="205"/>
      <c r="M1092" s="239"/>
      <c r="N1092" s="235"/>
      <c r="O1092" s="240"/>
      <c r="P1092" s="238"/>
      <c r="Q1092" s="240"/>
      <c r="R1092" s="241"/>
      <c r="S1092" s="240"/>
      <c r="T1092" s="240"/>
      <c r="U1092" s="66"/>
    </row>
    <row r="1093" spans="2:21" x14ac:dyDescent="0.25">
      <c r="B1093" s="66"/>
      <c r="C1093" s="235"/>
      <c r="D1093" s="236"/>
      <c r="E1093" s="237"/>
      <c r="F1093" s="238"/>
      <c r="G1093" s="235"/>
      <c r="H1093" s="235"/>
      <c r="I1093" s="205"/>
      <c r="J1093" s="205"/>
      <c r="K1093" s="205"/>
      <c r="L1093" s="205"/>
      <c r="M1093" s="239"/>
      <c r="N1093" s="235"/>
      <c r="O1093" s="240"/>
      <c r="P1093" s="238"/>
      <c r="Q1093" s="240"/>
      <c r="R1093" s="241"/>
      <c r="S1093" s="240"/>
      <c r="T1093" s="240"/>
      <c r="U1093" s="66"/>
    </row>
    <row r="1094" spans="2:21" x14ac:dyDescent="0.25">
      <c r="B1094" s="66"/>
      <c r="C1094" s="235"/>
      <c r="D1094" s="236"/>
      <c r="E1094" s="237"/>
      <c r="F1094" s="238"/>
      <c r="G1094" s="235"/>
      <c r="H1094" s="235"/>
      <c r="I1094" s="205"/>
      <c r="J1094" s="205"/>
      <c r="K1094" s="205"/>
      <c r="L1094" s="205"/>
      <c r="M1094" s="239"/>
      <c r="N1094" s="235"/>
      <c r="O1094" s="240"/>
      <c r="P1094" s="238"/>
      <c r="Q1094" s="240"/>
      <c r="R1094" s="241"/>
      <c r="S1094" s="240"/>
      <c r="T1094" s="240"/>
      <c r="U1094" s="66"/>
    </row>
    <row r="1095" spans="2:21" x14ac:dyDescent="0.25">
      <c r="B1095" s="66"/>
      <c r="C1095" s="235"/>
      <c r="D1095" s="236"/>
      <c r="E1095" s="237"/>
      <c r="F1095" s="238"/>
      <c r="G1095" s="235"/>
      <c r="H1095" s="235"/>
      <c r="I1095" s="205"/>
      <c r="J1095" s="205"/>
      <c r="K1095" s="205"/>
      <c r="L1095" s="205"/>
      <c r="M1095" s="239"/>
      <c r="N1095" s="235"/>
      <c r="O1095" s="240"/>
      <c r="P1095" s="238"/>
      <c r="Q1095" s="240"/>
      <c r="R1095" s="241"/>
      <c r="S1095" s="240"/>
      <c r="T1095" s="240"/>
      <c r="U1095" s="66"/>
    </row>
    <row r="1096" spans="2:21" x14ac:dyDescent="0.25">
      <c r="B1096" s="66"/>
      <c r="C1096" s="235"/>
      <c r="D1096" s="236"/>
      <c r="E1096" s="237"/>
      <c r="F1096" s="238"/>
      <c r="G1096" s="235"/>
      <c r="H1096" s="235"/>
      <c r="I1096" s="205"/>
      <c r="J1096" s="205"/>
      <c r="K1096" s="205"/>
      <c r="L1096" s="205"/>
      <c r="M1096" s="239"/>
      <c r="N1096" s="235"/>
      <c r="O1096" s="240"/>
      <c r="P1096" s="238"/>
      <c r="Q1096" s="240"/>
      <c r="R1096" s="241"/>
      <c r="S1096" s="240"/>
      <c r="T1096" s="240"/>
      <c r="U1096" s="66"/>
    </row>
    <row r="1097" spans="2:21" x14ac:dyDescent="0.25">
      <c r="B1097" s="66"/>
      <c r="C1097" s="235"/>
      <c r="D1097" s="236"/>
      <c r="E1097" s="237"/>
      <c r="F1097" s="238"/>
      <c r="G1097" s="235"/>
      <c r="H1097" s="235"/>
      <c r="I1097" s="205"/>
      <c r="J1097" s="205"/>
      <c r="K1097" s="205"/>
      <c r="L1097" s="205"/>
      <c r="M1097" s="239"/>
      <c r="N1097" s="235"/>
      <c r="O1097" s="240"/>
      <c r="P1097" s="238"/>
      <c r="Q1097" s="240"/>
      <c r="R1097" s="241"/>
      <c r="S1097" s="240"/>
      <c r="T1097" s="240"/>
      <c r="U1097" s="66"/>
    </row>
    <row r="1098" spans="2:21" x14ac:dyDescent="0.25">
      <c r="B1098" s="66"/>
      <c r="C1098" s="235"/>
      <c r="D1098" s="236"/>
      <c r="E1098" s="237"/>
      <c r="F1098" s="238"/>
      <c r="G1098" s="235"/>
      <c r="H1098" s="235"/>
      <c r="I1098" s="205"/>
      <c r="J1098" s="205"/>
      <c r="K1098" s="205"/>
      <c r="L1098" s="205"/>
      <c r="M1098" s="239"/>
      <c r="N1098" s="235"/>
      <c r="O1098" s="240"/>
      <c r="P1098" s="238"/>
      <c r="Q1098" s="240"/>
      <c r="R1098" s="241"/>
      <c r="S1098" s="240"/>
      <c r="T1098" s="240"/>
      <c r="U1098" s="66"/>
    </row>
    <row r="1099" spans="2:21" x14ac:dyDescent="0.25">
      <c r="B1099" s="66"/>
      <c r="C1099" s="235"/>
      <c r="D1099" s="236"/>
      <c r="E1099" s="237"/>
      <c r="F1099" s="238"/>
      <c r="G1099" s="235"/>
      <c r="H1099" s="235"/>
      <c r="I1099" s="205"/>
      <c r="J1099" s="205"/>
      <c r="K1099" s="205"/>
      <c r="L1099" s="205"/>
      <c r="M1099" s="239"/>
      <c r="N1099" s="235"/>
      <c r="O1099" s="240"/>
      <c r="P1099" s="238"/>
      <c r="Q1099" s="240"/>
      <c r="R1099" s="241"/>
      <c r="S1099" s="240"/>
      <c r="T1099" s="240"/>
      <c r="U1099" s="66"/>
    </row>
    <row r="1100" spans="2:21" x14ac:dyDescent="0.25">
      <c r="B1100" s="66"/>
      <c r="C1100" s="235"/>
      <c r="D1100" s="236"/>
      <c r="E1100" s="237"/>
      <c r="F1100" s="238"/>
      <c r="G1100" s="235"/>
      <c r="H1100" s="235"/>
      <c r="I1100" s="205"/>
      <c r="J1100" s="205"/>
      <c r="K1100" s="205"/>
      <c r="L1100" s="205"/>
      <c r="M1100" s="239"/>
      <c r="N1100" s="235"/>
      <c r="O1100" s="240"/>
      <c r="P1100" s="238"/>
      <c r="Q1100" s="240"/>
      <c r="R1100" s="241"/>
      <c r="S1100" s="240"/>
      <c r="T1100" s="240"/>
      <c r="U1100" s="66"/>
    </row>
    <row r="1101" spans="2:21" x14ac:dyDescent="0.25">
      <c r="B1101" s="66"/>
      <c r="C1101" s="235"/>
      <c r="D1101" s="236"/>
      <c r="E1101" s="237"/>
      <c r="F1101" s="238"/>
      <c r="G1101" s="235"/>
      <c r="H1101" s="235"/>
      <c r="I1101" s="205"/>
      <c r="J1101" s="205"/>
      <c r="K1101" s="205"/>
      <c r="L1101" s="205"/>
      <c r="M1101" s="239"/>
      <c r="N1101" s="235"/>
      <c r="O1101" s="240"/>
      <c r="P1101" s="238"/>
      <c r="Q1101" s="240"/>
      <c r="R1101" s="241"/>
      <c r="S1101" s="240"/>
      <c r="T1101" s="240"/>
      <c r="U1101" s="66"/>
    </row>
    <row r="1102" spans="2:21" x14ac:dyDescent="0.25">
      <c r="B1102" s="66"/>
      <c r="C1102" s="235"/>
      <c r="D1102" s="236"/>
      <c r="E1102" s="237"/>
      <c r="F1102" s="238"/>
      <c r="G1102" s="235"/>
      <c r="H1102" s="235"/>
      <c r="I1102" s="205"/>
      <c r="J1102" s="205"/>
      <c r="K1102" s="205"/>
      <c r="L1102" s="205"/>
      <c r="M1102" s="239"/>
      <c r="N1102" s="235"/>
      <c r="O1102" s="240"/>
      <c r="P1102" s="238"/>
      <c r="Q1102" s="240"/>
      <c r="R1102" s="241"/>
      <c r="S1102" s="240"/>
      <c r="T1102" s="240"/>
      <c r="U1102" s="66"/>
    </row>
    <row r="1103" spans="2:21" x14ac:dyDescent="0.25">
      <c r="B1103" s="66"/>
      <c r="C1103" s="235"/>
      <c r="D1103" s="236"/>
      <c r="E1103" s="237"/>
      <c r="F1103" s="238"/>
      <c r="G1103" s="235"/>
      <c r="H1103" s="235"/>
      <c r="I1103" s="205"/>
      <c r="J1103" s="205"/>
      <c r="K1103" s="205"/>
      <c r="L1103" s="205"/>
      <c r="M1103" s="239"/>
      <c r="N1103" s="235"/>
      <c r="O1103" s="240"/>
      <c r="P1103" s="238"/>
      <c r="Q1103" s="240"/>
      <c r="R1103" s="241"/>
      <c r="S1103" s="240"/>
      <c r="T1103" s="240"/>
      <c r="U1103" s="66"/>
    </row>
    <row r="1104" spans="2:21" x14ac:dyDescent="0.25">
      <c r="B1104" s="66"/>
      <c r="C1104" s="235"/>
      <c r="D1104" s="236"/>
      <c r="E1104" s="237"/>
      <c r="F1104" s="238"/>
      <c r="G1104" s="235"/>
      <c r="H1104" s="235"/>
      <c r="I1104" s="205"/>
      <c r="J1104" s="205"/>
      <c r="K1104" s="205"/>
      <c r="L1104" s="205"/>
      <c r="M1104" s="239"/>
      <c r="N1104" s="235"/>
      <c r="O1104" s="240"/>
      <c r="P1104" s="238"/>
      <c r="Q1104" s="240"/>
      <c r="R1104" s="241"/>
      <c r="S1104" s="240"/>
      <c r="T1104" s="240"/>
      <c r="U1104" s="66"/>
    </row>
    <row r="1105" spans="2:21" x14ac:dyDescent="0.25">
      <c r="B1105" s="66"/>
      <c r="C1105" s="235"/>
      <c r="D1105" s="236"/>
      <c r="E1105" s="237"/>
      <c r="F1105" s="238"/>
      <c r="G1105" s="235"/>
      <c r="H1105" s="235"/>
      <c r="I1105" s="205"/>
      <c r="J1105" s="205"/>
      <c r="K1105" s="205"/>
      <c r="L1105" s="205"/>
      <c r="M1105" s="239"/>
      <c r="N1105" s="235"/>
      <c r="O1105" s="240"/>
      <c r="P1105" s="238"/>
      <c r="Q1105" s="240"/>
      <c r="R1105" s="241"/>
      <c r="S1105" s="240"/>
      <c r="T1105" s="240"/>
      <c r="U1105" s="66"/>
    </row>
    <row r="1106" spans="2:21" x14ac:dyDescent="0.25">
      <c r="B1106" s="66"/>
      <c r="C1106" s="235"/>
      <c r="D1106" s="236"/>
      <c r="E1106" s="237"/>
      <c r="F1106" s="238"/>
      <c r="G1106" s="235"/>
      <c r="H1106" s="235"/>
      <c r="I1106" s="205"/>
      <c r="J1106" s="205"/>
      <c r="K1106" s="205"/>
      <c r="L1106" s="205"/>
      <c r="M1106" s="239"/>
      <c r="N1106" s="235"/>
      <c r="O1106" s="240"/>
      <c r="P1106" s="238"/>
      <c r="Q1106" s="240"/>
      <c r="R1106" s="241"/>
      <c r="S1106" s="240"/>
      <c r="T1106" s="240"/>
      <c r="U1106" s="66"/>
    </row>
    <row r="1107" spans="2:21" x14ac:dyDescent="0.25">
      <c r="B1107" s="66"/>
      <c r="C1107" s="235"/>
      <c r="D1107" s="236"/>
      <c r="E1107" s="237"/>
      <c r="F1107" s="238"/>
      <c r="G1107" s="235"/>
      <c r="H1107" s="235"/>
      <c r="I1107" s="205"/>
      <c r="J1107" s="205"/>
      <c r="K1107" s="205"/>
      <c r="L1107" s="205"/>
      <c r="M1107" s="239"/>
      <c r="N1107" s="235"/>
      <c r="O1107" s="240"/>
      <c r="P1107" s="238"/>
      <c r="Q1107" s="240"/>
      <c r="R1107" s="241"/>
      <c r="S1107" s="240"/>
      <c r="T1107" s="240"/>
      <c r="U1107" s="66"/>
    </row>
    <row r="1108" spans="2:21" x14ac:dyDescent="0.25">
      <c r="B1108" s="66"/>
      <c r="C1108" s="235"/>
      <c r="D1108" s="236"/>
      <c r="E1108" s="237"/>
      <c r="F1108" s="238"/>
      <c r="G1108" s="235"/>
      <c r="H1108" s="235"/>
      <c r="I1108" s="205"/>
      <c r="J1108" s="205"/>
      <c r="K1108" s="205"/>
      <c r="L1108" s="205"/>
      <c r="M1108" s="239"/>
      <c r="N1108" s="235"/>
      <c r="O1108" s="240"/>
      <c r="P1108" s="238"/>
      <c r="Q1108" s="240"/>
      <c r="R1108" s="241"/>
      <c r="S1108" s="240"/>
      <c r="T1108" s="240"/>
      <c r="U1108" s="66"/>
    </row>
    <row r="1109" spans="2:21" x14ac:dyDescent="0.25">
      <c r="B1109" s="66"/>
      <c r="C1109" s="235"/>
      <c r="D1109" s="236"/>
      <c r="E1109" s="237"/>
      <c r="F1109" s="238"/>
      <c r="G1109" s="235"/>
      <c r="H1109" s="235"/>
      <c r="I1109" s="205"/>
      <c r="J1109" s="205"/>
      <c r="K1109" s="205"/>
      <c r="L1109" s="205"/>
      <c r="M1109" s="239"/>
      <c r="N1109" s="235"/>
      <c r="O1109" s="240"/>
      <c r="P1109" s="238"/>
      <c r="Q1109" s="240"/>
      <c r="R1109" s="241"/>
      <c r="S1109" s="240"/>
      <c r="T1109" s="240"/>
      <c r="U1109" s="66"/>
    </row>
    <row r="1110" spans="2:21" x14ac:dyDescent="0.25">
      <c r="B1110" s="66"/>
      <c r="C1110" s="235"/>
      <c r="D1110" s="236"/>
      <c r="E1110" s="237"/>
      <c r="F1110" s="238"/>
      <c r="G1110" s="235"/>
      <c r="H1110" s="235"/>
      <c r="I1110" s="205"/>
      <c r="J1110" s="205"/>
      <c r="K1110" s="205"/>
      <c r="L1110" s="205"/>
      <c r="M1110" s="239"/>
      <c r="N1110" s="235"/>
      <c r="O1110" s="240"/>
      <c r="P1110" s="238"/>
      <c r="Q1110" s="240"/>
      <c r="R1110" s="241"/>
      <c r="S1110" s="240"/>
      <c r="T1110" s="240"/>
      <c r="U1110" s="66"/>
    </row>
    <row r="1111" spans="2:21" x14ac:dyDescent="0.25">
      <c r="B1111" s="66"/>
      <c r="C1111" s="235"/>
      <c r="D1111" s="236"/>
      <c r="E1111" s="237"/>
      <c r="F1111" s="238"/>
      <c r="G1111" s="235"/>
      <c r="H1111" s="235"/>
      <c r="I1111" s="205"/>
      <c r="J1111" s="205"/>
      <c r="K1111" s="205"/>
      <c r="L1111" s="205"/>
      <c r="M1111" s="239"/>
      <c r="N1111" s="235"/>
      <c r="O1111" s="240"/>
      <c r="P1111" s="238"/>
      <c r="Q1111" s="240"/>
      <c r="R1111" s="241"/>
      <c r="S1111" s="240"/>
      <c r="T1111" s="240"/>
      <c r="U1111" s="66"/>
    </row>
    <row r="1112" spans="2:21" x14ac:dyDescent="0.25">
      <c r="B1112" s="66"/>
      <c r="C1112" s="235"/>
      <c r="D1112" s="236"/>
      <c r="E1112" s="237"/>
      <c r="F1112" s="238"/>
      <c r="G1112" s="235"/>
      <c r="H1112" s="235"/>
      <c r="I1112" s="205"/>
      <c r="J1112" s="205"/>
      <c r="K1112" s="205"/>
      <c r="L1112" s="205"/>
      <c r="M1112" s="239"/>
      <c r="N1112" s="235"/>
      <c r="O1112" s="240"/>
      <c r="P1112" s="238"/>
      <c r="Q1112" s="240"/>
      <c r="R1112" s="241"/>
      <c r="S1112" s="240"/>
      <c r="T1112" s="240"/>
      <c r="U1112" s="66"/>
    </row>
    <row r="1113" spans="2:21" x14ac:dyDescent="0.25">
      <c r="B1113" s="66"/>
      <c r="C1113" s="235"/>
      <c r="D1113" s="236"/>
      <c r="E1113" s="237"/>
      <c r="F1113" s="238"/>
      <c r="G1113" s="235"/>
      <c r="H1113" s="235"/>
      <c r="I1113" s="205"/>
      <c r="J1113" s="205"/>
      <c r="K1113" s="205"/>
      <c r="L1113" s="205"/>
      <c r="M1113" s="239"/>
      <c r="N1113" s="235"/>
      <c r="O1113" s="240"/>
      <c r="P1113" s="238"/>
      <c r="Q1113" s="240"/>
      <c r="R1113" s="241"/>
      <c r="S1113" s="240"/>
      <c r="T1113" s="240"/>
      <c r="U1113" s="66"/>
    </row>
    <row r="1114" spans="2:21" x14ac:dyDescent="0.25">
      <c r="B1114" s="66"/>
      <c r="C1114" s="235"/>
      <c r="D1114" s="236"/>
      <c r="E1114" s="237"/>
      <c r="F1114" s="238"/>
      <c r="G1114" s="235"/>
      <c r="H1114" s="235"/>
      <c r="I1114" s="205"/>
      <c r="J1114" s="205"/>
      <c r="K1114" s="205"/>
      <c r="L1114" s="205"/>
      <c r="M1114" s="239"/>
      <c r="N1114" s="235"/>
      <c r="O1114" s="240"/>
      <c r="P1114" s="238"/>
      <c r="Q1114" s="240"/>
      <c r="R1114" s="241"/>
      <c r="S1114" s="240"/>
      <c r="T1114" s="240"/>
      <c r="U1114" s="66"/>
    </row>
    <row r="1115" spans="2:21" x14ac:dyDescent="0.25">
      <c r="B1115" s="66"/>
      <c r="C1115" s="235"/>
      <c r="D1115" s="236"/>
      <c r="E1115" s="237"/>
      <c r="F1115" s="238"/>
      <c r="G1115" s="235"/>
      <c r="H1115" s="235"/>
      <c r="I1115" s="205"/>
      <c r="J1115" s="205"/>
      <c r="K1115" s="205"/>
      <c r="L1115" s="205"/>
      <c r="M1115" s="239"/>
      <c r="N1115" s="235"/>
      <c r="O1115" s="240"/>
      <c r="P1115" s="238"/>
      <c r="Q1115" s="240"/>
      <c r="R1115" s="241"/>
      <c r="S1115" s="240"/>
      <c r="T1115" s="240"/>
      <c r="U1115" s="66"/>
    </row>
    <row r="1116" spans="2:21" x14ac:dyDescent="0.25">
      <c r="B1116" s="66"/>
      <c r="C1116" s="235"/>
      <c r="D1116" s="236"/>
      <c r="E1116" s="237"/>
      <c r="F1116" s="238"/>
      <c r="G1116" s="235"/>
      <c r="H1116" s="235"/>
      <c r="I1116" s="205"/>
      <c r="J1116" s="205"/>
      <c r="K1116" s="205"/>
      <c r="L1116" s="205"/>
      <c r="M1116" s="239"/>
      <c r="N1116" s="235"/>
      <c r="O1116" s="240"/>
      <c r="P1116" s="238"/>
      <c r="Q1116" s="240"/>
      <c r="R1116" s="241"/>
      <c r="S1116" s="240"/>
      <c r="T1116" s="240"/>
      <c r="U1116" s="66"/>
    </row>
    <row r="1117" spans="2:21" x14ac:dyDescent="0.25">
      <c r="B1117" s="66"/>
      <c r="C1117" s="235"/>
      <c r="D1117" s="236"/>
      <c r="E1117" s="237"/>
      <c r="F1117" s="238"/>
      <c r="G1117" s="235"/>
      <c r="H1117" s="235"/>
      <c r="I1117" s="205"/>
      <c r="J1117" s="205"/>
      <c r="K1117" s="205"/>
      <c r="L1117" s="205"/>
      <c r="M1117" s="239"/>
      <c r="N1117" s="235"/>
      <c r="O1117" s="240"/>
      <c r="P1117" s="238"/>
      <c r="Q1117" s="240"/>
      <c r="R1117" s="241"/>
      <c r="S1117" s="240"/>
      <c r="T1117" s="240"/>
      <c r="U1117" s="66"/>
    </row>
    <row r="1118" spans="2:21" x14ac:dyDescent="0.25">
      <c r="B1118" s="66"/>
      <c r="C1118" s="235"/>
      <c r="D1118" s="236"/>
      <c r="E1118" s="237"/>
      <c r="F1118" s="238"/>
      <c r="G1118" s="235"/>
      <c r="H1118" s="235"/>
      <c r="I1118" s="205"/>
      <c r="J1118" s="205"/>
      <c r="K1118" s="205"/>
      <c r="L1118" s="205"/>
      <c r="M1118" s="239"/>
      <c r="N1118" s="235"/>
      <c r="O1118" s="240"/>
      <c r="P1118" s="238"/>
      <c r="Q1118" s="240"/>
      <c r="R1118" s="241"/>
      <c r="S1118" s="240"/>
      <c r="T1118" s="240"/>
      <c r="U1118" s="66"/>
    </row>
    <row r="1119" spans="2:21" x14ac:dyDescent="0.25">
      <c r="B1119" s="66"/>
      <c r="C1119" s="235"/>
      <c r="D1119" s="236"/>
      <c r="E1119" s="237"/>
      <c r="F1119" s="238"/>
      <c r="G1119" s="235"/>
      <c r="H1119" s="235"/>
      <c r="I1119" s="205"/>
      <c r="J1119" s="205"/>
      <c r="K1119" s="205"/>
      <c r="L1119" s="205"/>
      <c r="M1119" s="239"/>
      <c r="N1119" s="235"/>
      <c r="O1119" s="240"/>
      <c r="P1119" s="238"/>
      <c r="Q1119" s="240"/>
      <c r="R1119" s="241"/>
      <c r="S1119" s="240"/>
      <c r="T1119" s="240"/>
      <c r="U1119" s="66"/>
    </row>
    <row r="1120" spans="2:21" x14ac:dyDescent="0.25">
      <c r="B1120" s="66"/>
      <c r="C1120" s="235"/>
      <c r="D1120" s="236"/>
      <c r="E1120" s="237"/>
      <c r="F1120" s="238"/>
      <c r="G1120" s="235"/>
      <c r="H1120" s="235"/>
      <c r="I1120" s="205"/>
      <c r="J1120" s="205"/>
      <c r="K1120" s="205"/>
      <c r="L1120" s="205"/>
      <c r="M1120" s="239"/>
      <c r="N1120" s="235"/>
      <c r="O1120" s="240"/>
      <c r="P1120" s="238"/>
      <c r="Q1120" s="240"/>
      <c r="R1120" s="241"/>
      <c r="S1120" s="240"/>
      <c r="T1120" s="240"/>
      <c r="U1120" s="66"/>
    </row>
    <row r="1121" spans="2:21" x14ac:dyDescent="0.25">
      <c r="B1121" s="66"/>
      <c r="C1121" s="235"/>
      <c r="D1121" s="236"/>
      <c r="E1121" s="237"/>
      <c r="F1121" s="238"/>
      <c r="G1121" s="235"/>
      <c r="H1121" s="235"/>
      <c r="I1121" s="205"/>
      <c r="J1121" s="205"/>
      <c r="K1121" s="205"/>
      <c r="L1121" s="205"/>
      <c r="M1121" s="239"/>
      <c r="N1121" s="235"/>
      <c r="O1121" s="240"/>
      <c r="P1121" s="238"/>
      <c r="Q1121" s="240"/>
      <c r="R1121" s="241"/>
      <c r="S1121" s="240"/>
      <c r="T1121" s="240"/>
      <c r="U1121" s="66"/>
    </row>
    <row r="1122" spans="2:21" x14ac:dyDescent="0.25">
      <c r="B1122" s="66"/>
      <c r="C1122" s="235"/>
      <c r="D1122" s="236"/>
      <c r="E1122" s="237"/>
      <c r="F1122" s="238"/>
      <c r="G1122" s="235"/>
      <c r="H1122" s="235"/>
      <c r="I1122" s="205"/>
      <c r="J1122" s="205"/>
      <c r="K1122" s="205"/>
      <c r="L1122" s="205"/>
      <c r="M1122" s="239"/>
      <c r="N1122" s="235"/>
      <c r="O1122" s="240"/>
      <c r="P1122" s="238"/>
      <c r="Q1122" s="240"/>
      <c r="R1122" s="241"/>
      <c r="S1122" s="240"/>
      <c r="T1122" s="240"/>
      <c r="U1122" s="66"/>
    </row>
    <row r="1123" spans="2:21" x14ac:dyDescent="0.25">
      <c r="B1123" s="66"/>
      <c r="C1123" s="235"/>
      <c r="D1123" s="236"/>
      <c r="E1123" s="237"/>
      <c r="F1123" s="238"/>
      <c r="G1123" s="235"/>
      <c r="H1123" s="235"/>
      <c r="I1123" s="205"/>
      <c r="J1123" s="205"/>
      <c r="K1123" s="205"/>
      <c r="L1123" s="205"/>
      <c r="M1123" s="239"/>
      <c r="N1123" s="235"/>
      <c r="O1123" s="240"/>
      <c r="P1123" s="238"/>
      <c r="Q1123" s="240"/>
      <c r="R1123" s="241"/>
      <c r="S1123" s="240"/>
      <c r="T1123" s="240"/>
      <c r="U1123" s="66"/>
    </row>
    <row r="1124" spans="2:21" x14ac:dyDescent="0.25">
      <c r="B1124" s="66"/>
      <c r="C1124" s="235"/>
      <c r="D1124" s="236"/>
      <c r="E1124" s="237"/>
      <c r="F1124" s="238"/>
      <c r="G1124" s="235"/>
      <c r="H1124" s="235"/>
      <c r="I1124" s="205"/>
      <c r="J1124" s="205"/>
      <c r="K1124" s="205"/>
      <c r="L1124" s="205"/>
      <c r="M1124" s="239"/>
      <c r="N1124" s="235"/>
      <c r="O1124" s="240"/>
      <c r="P1124" s="238"/>
      <c r="Q1124" s="240"/>
      <c r="R1124" s="241"/>
      <c r="S1124" s="240"/>
      <c r="T1124" s="240"/>
      <c r="U1124" s="66"/>
    </row>
    <row r="1125" spans="2:21" x14ac:dyDescent="0.25">
      <c r="B1125" s="66"/>
      <c r="C1125" s="235"/>
      <c r="D1125" s="236"/>
      <c r="E1125" s="237"/>
      <c r="F1125" s="238"/>
      <c r="G1125" s="235"/>
      <c r="H1125" s="235"/>
      <c r="I1125" s="205"/>
      <c r="J1125" s="205"/>
      <c r="K1125" s="205"/>
      <c r="L1125" s="205"/>
      <c r="M1125" s="239"/>
      <c r="N1125" s="235"/>
      <c r="O1125" s="240"/>
      <c r="P1125" s="238"/>
      <c r="Q1125" s="240"/>
      <c r="R1125" s="241"/>
      <c r="S1125" s="240"/>
      <c r="T1125" s="240"/>
      <c r="U1125" s="66"/>
    </row>
    <row r="1126" spans="2:21" x14ac:dyDescent="0.25">
      <c r="B1126" s="66"/>
      <c r="C1126" s="235"/>
      <c r="D1126" s="236"/>
      <c r="E1126" s="237"/>
      <c r="F1126" s="238"/>
      <c r="G1126" s="235"/>
      <c r="H1126" s="235"/>
      <c r="I1126" s="205"/>
      <c r="J1126" s="205"/>
      <c r="K1126" s="205"/>
      <c r="L1126" s="205"/>
      <c r="M1126" s="239"/>
      <c r="N1126" s="235"/>
      <c r="O1126" s="240"/>
      <c r="P1126" s="238"/>
      <c r="Q1126" s="240"/>
      <c r="R1126" s="241"/>
      <c r="S1126" s="240"/>
      <c r="T1126" s="240"/>
      <c r="U1126" s="66"/>
    </row>
    <row r="1127" spans="2:21" x14ac:dyDescent="0.25">
      <c r="B1127" s="66"/>
      <c r="C1127" s="235"/>
      <c r="D1127" s="236"/>
      <c r="E1127" s="237"/>
      <c r="F1127" s="238"/>
      <c r="G1127" s="235"/>
      <c r="H1127" s="235"/>
      <c r="I1127" s="205"/>
      <c r="J1127" s="205"/>
      <c r="K1127" s="205"/>
      <c r="L1127" s="205"/>
      <c r="M1127" s="239"/>
      <c r="N1127" s="235"/>
      <c r="O1127" s="240"/>
      <c r="P1127" s="238"/>
      <c r="Q1127" s="240"/>
      <c r="R1127" s="241"/>
      <c r="S1127" s="240"/>
      <c r="T1127" s="240"/>
      <c r="U1127" s="66"/>
    </row>
    <row r="1128" spans="2:21" x14ac:dyDescent="0.25">
      <c r="B1128" s="66"/>
      <c r="C1128" s="235"/>
      <c r="D1128" s="236"/>
      <c r="E1128" s="237"/>
      <c r="F1128" s="238"/>
      <c r="G1128" s="235"/>
      <c r="H1128" s="235"/>
      <c r="I1128" s="205"/>
      <c r="J1128" s="205"/>
      <c r="K1128" s="205"/>
      <c r="L1128" s="205"/>
      <c r="M1128" s="239"/>
      <c r="N1128" s="235"/>
      <c r="O1128" s="240"/>
      <c r="P1128" s="238"/>
      <c r="Q1128" s="240"/>
      <c r="R1128" s="241"/>
      <c r="S1128" s="240"/>
      <c r="T1128" s="240"/>
      <c r="U1128" s="66"/>
    </row>
    <row r="1129" spans="2:21" x14ac:dyDescent="0.25">
      <c r="B1129" s="66"/>
      <c r="C1129" s="235"/>
      <c r="D1129" s="236"/>
      <c r="E1129" s="237"/>
      <c r="F1129" s="238"/>
      <c r="G1129" s="235"/>
      <c r="H1129" s="235"/>
      <c r="I1129" s="205"/>
      <c r="J1129" s="205"/>
      <c r="K1129" s="205"/>
      <c r="L1129" s="205"/>
      <c r="M1129" s="239"/>
      <c r="N1129" s="235"/>
      <c r="O1129" s="240"/>
      <c r="P1129" s="238"/>
      <c r="Q1129" s="240"/>
      <c r="R1129" s="241"/>
      <c r="S1129" s="240"/>
      <c r="T1129" s="240"/>
      <c r="U1129" s="66"/>
    </row>
    <row r="1130" spans="2:21" x14ac:dyDescent="0.25">
      <c r="B1130" s="66"/>
      <c r="C1130" s="235"/>
      <c r="D1130" s="236"/>
      <c r="E1130" s="237"/>
      <c r="F1130" s="238"/>
      <c r="G1130" s="235"/>
      <c r="H1130" s="235"/>
      <c r="I1130" s="205"/>
      <c r="J1130" s="205"/>
      <c r="K1130" s="205"/>
      <c r="L1130" s="205"/>
      <c r="M1130" s="239"/>
      <c r="N1130" s="235"/>
      <c r="O1130" s="240"/>
      <c r="P1130" s="238"/>
      <c r="Q1130" s="240"/>
      <c r="R1130" s="241"/>
      <c r="S1130" s="240"/>
      <c r="T1130" s="240"/>
      <c r="U1130" s="66"/>
    </row>
    <row r="1131" spans="2:21" x14ac:dyDescent="0.25">
      <c r="B1131" s="66"/>
      <c r="C1131" s="235"/>
      <c r="D1131" s="236"/>
      <c r="E1131" s="237"/>
      <c r="F1131" s="238"/>
      <c r="G1131" s="235"/>
      <c r="H1131" s="235"/>
      <c r="I1131" s="205"/>
      <c r="J1131" s="205"/>
      <c r="K1131" s="205"/>
      <c r="L1131" s="205"/>
      <c r="M1131" s="239"/>
      <c r="N1131" s="235"/>
      <c r="O1131" s="240"/>
      <c r="P1131" s="238"/>
      <c r="Q1131" s="240"/>
      <c r="R1131" s="241"/>
      <c r="S1131" s="240"/>
      <c r="T1131" s="240"/>
      <c r="U1131" s="66"/>
    </row>
    <row r="1132" spans="2:21" x14ac:dyDescent="0.25">
      <c r="B1132" s="66"/>
      <c r="C1132" s="235"/>
      <c r="D1132" s="236"/>
      <c r="E1132" s="237"/>
      <c r="F1132" s="238"/>
      <c r="G1132" s="235"/>
      <c r="H1132" s="235"/>
      <c r="I1132" s="205"/>
      <c r="J1132" s="205"/>
      <c r="K1132" s="205"/>
      <c r="L1132" s="205"/>
      <c r="M1132" s="239"/>
      <c r="N1132" s="235"/>
      <c r="O1132" s="240"/>
      <c r="P1132" s="238"/>
      <c r="Q1132" s="240"/>
      <c r="R1132" s="241"/>
      <c r="S1132" s="240"/>
      <c r="T1132" s="240"/>
      <c r="U1132" s="66"/>
    </row>
    <row r="1133" spans="2:21" x14ac:dyDescent="0.25">
      <c r="B1133" s="66"/>
      <c r="C1133" s="235"/>
      <c r="D1133" s="236"/>
      <c r="E1133" s="237"/>
      <c r="F1133" s="238"/>
      <c r="G1133" s="235"/>
      <c r="H1133" s="235"/>
      <c r="I1133" s="205"/>
      <c r="J1133" s="205"/>
      <c r="K1133" s="205"/>
      <c r="L1133" s="205"/>
      <c r="M1133" s="239"/>
      <c r="N1133" s="235"/>
      <c r="O1133" s="240"/>
      <c r="P1133" s="238"/>
      <c r="Q1133" s="240"/>
      <c r="R1133" s="241"/>
      <c r="S1133" s="240"/>
      <c r="T1133" s="240"/>
      <c r="U1133" s="66"/>
    </row>
    <row r="1134" spans="2:21" x14ac:dyDescent="0.25">
      <c r="B1134" s="66"/>
      <c r="C1134" s="235"/>
      <c r="D1134" s="236"/>
      <c r="E1134" s="237"/>
      <c r="F1134" s="238"/>
      <c r="G1134" s="235"/>
      <c r="H1134" s="235"/>
      <c r="I1134" s="205"/>
      <c r="J1134" s="205"/>
      <c r="K1134" s="205"/>
      <c r="L1134" s="205"/>
      <c r="M1134" s="239"/>
      <c r="N1134" s="235"/>
      <c r="O1134" s="240"/>
      <c r="P1134" s="238"/>
      <c r="Q1134" s="240"/>
      <c r="R1134" s="241"/>
      <c r="S1134" s="240"/>
      <c r="T1134" s="240"/>
      <c r="U1134" s="66"/>
    </row>
    <row r="1135" spans="2:21" x14ac:dyDescent="0.25">
      <c r="B1135" s="66"/>
      <c r="C1135" s="235"/>
      <c r="D1135" s="236"/>
      <c r="E1135" s="237"/>
      <c r="F1135" s="238"/>
      <c r="G1135" s="235"/>
      <c r="H1135" s="235"/>
      <c r="I1135" s="205"/>
      <c r="J1135" s="205"/>
      <c r="K1135" s="205"/>
      <c r="L1135" s="205"/>
      <c r="M1135" s="239"/>
      <c r="N1135" s="235"/>
      <c r="O1135" s="240"/>
      <c r="P1135" s="238"/>
      <c r="Q1135" s="240"/>
      <c r="R1135" s="241"/>
      <c r="S1135" s="240"/>
      <c r="T1135" s="240"/>
      <c r="U1135" s="66"/>
    </row>
    <row r="1136" spans="2:21" x14ac:dyDescent="0.25">
      <c r="B1136" s="66"/>
      <c r="C1136" s="235"/>
      <c r="D1136" s="236"/>
      <c r="E1136" s="237"/>
      <c r="F1136" s="238"/>
      <c r="G1136" s="235"/>
      <c r="H1136" s="235"/>
      <c r="I1136" s="205"/>
      <c r="J1136" s="205"/>
      <c r="K1136" s="205"/>
      <c r="L1136" s="205"/>
      <c r="M1136" s="239"/>
      <c r="N1136" s="235"/>
      <c r="O1136" s="240"/>
      <c r="P1136" s="238"/>
      <c r="Q1136" s="240"/>
      <c r="R1136" s="241"/>
      <c r="S1136" s="240"/>
      <c r="T1136" s="240"/>
      <c r="U1136" s="66"/>
    </row>
    <row r="1137" spans="2:21" x14ac:dyDescent="0.25">
      <c r="B1137" s="66"/>
      <c r="C1137" s="235"/>
      <c r="D1137" s="236"/>
      <c r="E1137" s="237"/>
      <c r="F1137" s="238"/>
      <c r="G1137" s="235"/>
      <c r="H1137" s="235"/>
      <c r="I1137" s="205"/>
      <c r="J1137" s="205"/>
      <c r="K1137" s="205"/>
      <c r="L1137" s="205"/>
      <c r="M1137" s="239"/>
      <c r="N1137" s="235"/>
      <c r="O1137" s="240"/>
      <c r="P1137" s="238"/>
      <c r="Q1137" s="240"/>
      <c r="R1137" s="241"/>
      <c r="S1137" s="240"/>
      <c r="T1137" s="240"/>
      <c r="U1137" s="66"/>
    </row>
    <row r="1138" spans="2:21" x14ac:dyDescent="0.25">
      <c r="B1138" s="66"/>
      <c r="C1138" s="235"/>
      <c r="D1138" s="236"/>
      <c r="E1138" s="237"/>
      <c r="F1138" s="238"/>
      <c r="G1138" s="235"/>
      <c r="H1138" s="235"/>
      <c r="I1138" s="205"/>
      <c r="J1138" s="205"/>
      <c r="K1138" s="205"/>
      <c r="L1138" s="205"/>
      <c r="M1138" s="239"/>
      <c r="N1138" s="235"/>
      <c r="O1138" s="240"/>
      <c r="P1138" s="238"/>
      <c r="Q1138" s="240"/>
      <c r="R1138" s="241"/>
      <c r="S1138" s="240"/>
      <c r="T1138" s="240"/>
      <c r="U1138" s="66"/>
    </row>
    <row r="1139" spans="2:21" x14ac:dyDescent="0.25">
      <c r="B1139" s="66"/>
      <c r="C1139" s="235"/>
      <c r="D1139" s="236"/>
      <c r="E1139" s="237"/>
      <c r="F1139" s="238"/>
      <c r="G1139" s="235"/>
      <c r="H1139" s="235"/>
      <c r="I1139" s="205"/>
      <c r="J1139" s="205"/>
      <c r="K1139" s="205"/>
      <c r="L1139" s="205"/>
      <c r="M1139" s="239"/>
      <c r="N1139" s="235"/>
      <c r="O1139" s="240"/>
      <c r="P1139" s="238"/>
      <c r="Q1139" s="240"/>
      <c r="R1139" s="241"/>
      <c r="S1139" s="240"/>
      <c r="T1139" s="240"/>
      <c r="U1139" s="66"/>
    </row>
    <row r="1140" spans="2:21" x14ac:dyDescent="0.25">
      <c r="B1140" s="66"/>
      <c r="C1140" s="235"/>
      <c r="D1140" s="236"/>
      <c r="E1140" s="237"/>
      <c r="F1140" s="238"/>
      <c r="G1140" s="235"/>
      <c r="H1140" s="235"/>
      <c r="I1140" s="205"/>
      <c r="J1140" s="205"/>
      <c r="K1140" s="205"/>
      <c r="L1140" s="205"/>
      <c r="M1140" s="239"/>
      <c r="N1140" s="235"/>
      <c r="O1140" s="240"/>
      <c r="P1140" s="238"/>
      <c r="Q1140" s="240"/>
      <c r="R1140" s="241"/>
      <c r="S1140" s="240"/>
      <c r="T1140" s="240"/>
      <c r="U1140" s="66"/>
    </row>
    <row r="1141" spans="2:21" x14ac:dyDescent="0.25">
      <c r="B1141" s="66"/>
      <c r="C1141" s="235"/>
      <c r="D1141" s="236"/>
      <c r="E1141" s="237"/>
      <c r="F1141" s="238"/>
      <c r="G1141" s="235"/>
      <c r="H1141" s="235"/>
      <c r="I1141" s="205"/>
      <c r="J1141" s="205"/>
      <c r="K1141" s="205"/>
      <c r="L1141" s="205"/>
      <c r="M1141" s="239"/>
      <c r="N1141" s="235"/>
      <c r="O1141" s="240"/>
      <c r="P1141" s="238"/>
      <c r="Q1141" s="240"/>
      <c r="R1141" s="241"/>
      <c r="S1141" s="240"/>
      <c r="T1141" s="240"/>
      <c r="U1141" s="66"/>
    </row>
    <row r="1142" spans="2:21" x14ac:dyDescent="0.25">
      <c r="B1142" s="66"/>
      <c r="C1142" s="235"/>
      <c r="D1142" s="236"/>
      <c r="E1142" s="237"/>
      <c r="F1142" s="238"/>
      <c r="G1142" s="235"/>
      <c r="H1142" s="235"/>
      <c r="I1142" s="205"/>
      <c r="J1142" s="205"/>
      <c r="K1142" s="205"/>
      <c r="L1142" s="205"/>
      <c r="M1142" s="239"/>
      <c r="N1142" s="235"/>
      <c r="O1142" s="240"/>
      <c r="P1142" s="238"/>
      <c r="Q1142" s="240"/>
      <c r="R1142" s="241"/>
      <c r="S1142" s="240"/>
      <c r="T1142" s="240"/>
      <c r="U1142" s="66"/>
    </row>
    <row r="1143" spans="2:21" x14ac:dyDescent="0.25">
      <c r="B1143" s="66"/>
      <c r="C1143" s="235"/>
      <c r="D1143" s="236"/>
      <c r="E1143" s="237"/>
      <c r="F1143" s="238"/>
      <c r="G1143" s="235"/>
      <c r="H1143" s="235"/>
      <c r="I1143" s="205"/>
      <c r="J1143" s="205"/>
      <c r="K1143" s="205"/>
      <c r="L1143" s="205"/>
      <c r="M1143" s="239"/>
      <c r="N1143" s="235"/>
      <c r="O1143" s="240"/>
      <c r="P1143" s="238"/>
      <c r="Q1143" s="240"/>
      <c r="R1143" s="241"/>
      <c r="S1143" s="240"/>
      <c r="T1143" s="240"/>
      <c r="U1143" s="66"/>
    </row>
    <row r="1144" spans="2:21" x14ac:dyDescent="0.25">
      <c r="B1144" s="66"/>
      <c r="C1144" s="235"/>
      <c r="D1144" s="236"/>
      <c r="E1144" s="237"/>
      <c r="F1144" s="238"/>
      <c r="G1144" s="235"/>
      <c r="H1144" s="235"/>
      <c r="I1144" s="205"/>
      <c r="J1144" s="205"/>
      <c r="K1144" s="205"/>
      <c r="L1144" s="205"/>
      <c r="M1144" s="239"/>
      <c r="N1144" s="235"/>
      <c r="O1144" s="240"/>
      <c r="P1144" s="238"/>
      <c r="Q1144" s="240"/>
      <c r="R1144" s="241"/>
      <c r="S1144" s="240"/>
      <c r="T1144" s="240"/>
      <c r="U1144" s="66"/>
    </row>
    <row r="1145" spans="2:21" x14ac:dyDescent="0.25">
      <c r="B1145" s="66"/>
      <c r="C1145" s="235"/>
      <c r="D1145" s="236"/>
      <c r="E1145" s="237"/>
      <c r="F1145" s="238"/>
      <c r="G1145" s="235"/>
      <c r="H1145" s="235"/>
      <c r="I1145" s="205"/>
      <c r="J1145" s="205"/>
      <c r="K1145" s="205"/>
      <c r="L1145" s="205"/>
      <c r="M1145" s="239"/>
      <c r="N1145" s="235"/>
      <c r="O1145" s="240"/>
      <c r="P1145" s="238"/>
      <c r="Q1145" s="240"/>
      <c r="R1145" s="241"/>
      <c r="S1145" s="240"/>
      <c r="T1145" s="240"/>
      <c r="U1145" s="66"/>
    </row>
    <row r="1146" spans="2:21" x14ac:dyDescent="0.25">
      <c r="B1146" s="66"/>
      <c r="C1146" s="235"/>
      <c r="D1146" s="236"/>
      <c r="E1146" s="237"/>
      <c r="F1146" s="238"/>
      <c r="G1146" s="235"/>
      <c r="H1146" s="235"/>
      <c r="I1146" s="205"/>
      <c r="J1146" s="205"/>
      <c r="K1146" s="205"/>
      <c r="L1146" s="205"/>
      <c r="M1146" s="239"/>
      <c r="N1146" s="235"/>
      <c r="O1146" s="240"/>
      <c r="P1146" s="238"/>
      <c r="Q1146" s="240"/>
      <c r="R1146" s="241"/>
      <c r="S1146" s="240"/>
      <c r="T1146" s="240"/>
      <c r="U1146" s="66"/>
    </row>
    <row r="1147" spans="2:21" x14ac:dyDescent="0.25">
      <c r="B1147" s="66"/>
      <c r="C1147" s="235"/>
      <c r="D1147" s="236"/>
      <c r="E1147" s="237"/>
      <c r="F1147" s="238"/>
      <c r="G1147" s="235"/>
      <c r="H1147" s="235"/>
      <c r="I1147" s="205"/>
      <c r="J1147" s="205"/>
      <c r="K1147" s="205"/>
      <c r="L1147" s="205"/>
      <c r="M1147" s="239"/>
      <c r="N1147" s="235"/>
      <c r="O1147" s="240"/>
      <c r="P1147" s="238"/>
      <c r="Q1147" s="240"/>
      <c r="R1147" s="241"/>
      <c r="S1147" s="240"/>
      <c r="T1147" s="240"/>
      <c r="U1147" s="66"/>
    </row>
    <row r="1148" spans="2:21" x14ac:dyDescent="0.25">
      <c r="B1148" s="66"/>
      <c r="C1148" s="235"/>
      <c r="D1148" s="236"/>
      <c r="E1148" s="237"/>
      <c r="F1148" s="238"/>
      <c r="G1148" s="235"/>
      <c r="H1148" s="235"/>
      <c r="I1148" s="205"/>
      <c r="J1148" s="205"/>
      <c r="K1148" s="205"/>
      <c r="L1148" s="205"/>
      <c r="M1148" s="239"/>
      <c r="N1148" s="235"/>
      <c r="O1148" s="240"/>
      <c r="P1148" s="238"/>
      <c r="Q1148" s="240"/>
      <c r="R1148" s="241"/>
      <c r="S1148" s="240"/>
      <c r="T1148" s="240"/>
      <c r="U1148" s="66"/>
    </row>
    <row r="1149" spans="2:21" x14ac:dyDescent="0.25">
      <c r="B1149" s="66"/>
      <c r="C1149" s="235"/>
      <c r="D1149" s="236"/>
      <c r="E1149" s="237"/>
      <c r="F1149" s="238"/>
      <c r="G1149" s="235"/>
      <c r="H1149" s="235"/>
      <c r="I1149" s="205"/>
      <c r="J1149" s="205"/>
      <c r="K1149" s="205"/>
      <c r="L1149" s="205"/>
      <c r="M1149" s="239"/>
      <c r="N1149" s="235"/>
      <c r="O1149" s="240"/>
      <c r="P1149" s="238"/>
      <c r="Q1149" s="240"/>
      <c r="R1149" s="241"/>
      <c r="S1149" s="240"/>
      <c r="T1149" s="240"/>
      <c r="U1149" s="66"/>
    </row>
    <row r="1150" spans="2:21" x14ac:dyDescent="0.25">
      <c r="B1150" s="66"/>
      <c r="C1150" s="235"/>
      <c r="D1150" s="236"/>
      <c r="E1150" s="237"/>
      <c r="F1150" s="238"/>
      <c r="G1150" s="235"/>
      <c r="H1150" s="235"/>
      <c r="I1150" s="205"/>
      <c r="J1150" s="205"/>
      <c r="K1150" s="205"/>
      <c r="L1150" s="205"/>
      <c r="M1150" s="239"/>
      <c r="N1150" s="235"/>
      <c r="O1150" s="240"/>
      <c r="P1150" s="238"/>
      <c r="Q1150" s="240"/>
      <c r="R1150" s="241"/>
      <c r="S1150" s="240"/>
      <c r="T1150" s="240"/>
      <c r="U1150" s="66"/>
    </row>
    <row r="1151" spans="2:21" x14ac:dyDescent="0.25">
      <c r="B1151" s="66"/>
      <c r="C1151" s="235"/>
      <c r="D1151" s="236"/>
      <c r="E1151" s="237"/>
      <c r="F1151" s="238"/>
      <c r="G1151" s="235"/>
      <c r="H1151" s="235"/>
      <c r="I1151" s="205"/>
      <c r="J1151" s="205"/>
      <c r="K1151" s="205"/>
      <c r="L1151" s="205"/>
      <c r="M1151" s="239"/>
      <c r="N1151" s="235"/>
      <c r="O1151" s="240"/>
      <c r="P1151" s="238"/>
      <c r="Q1151" s="240"/>
      <c r="R1151" s="241"/>
      <c r="S1151" s="240"/>
      <c r="T1151" s="240"/>
      <c r="U1151" s="66"/>
    </row>
    <row r="1152" spans="2:21" x14ac:dyDescent="0.25">
      <c r="B1152" s="66"/>
      <c r="C1152" s="235"/>
      <c r="D1152" s="236"/>
      <c r="E1152" s="237"/>
      <c r="F1152" s="238"/>
      <c r="G1152" s="235"/>
      <c r="H1152" s="235"/>
      <c r="I1152" s="205"/>
      <c r="J1152" s="205"/>
      <c r="K1152" s="205"/>
      <c r="L1152" s="205"/>
      <c r="M1152" s="239"/>
      <c r="N1152" s="235"/>
      <c r="O1152" s="240"/>
      <c r="P1152" s="238"/>
      <c r="Q1152" s="240"/>
      <c r="R1152" s="241"/>
      <c r="S1152" s="240"/>
      <c r="T1152" s="240"/>
      <c r="U1152" s="66"/>
    </row>
    <row r="1153" spans="2:21" x14ac:dyDescent="0.25">
      <c r="B1153" s="66"/>
      <c r="C1153" s="235"/>
      <c r="D1153" s="236"/>
      <c r="E1153" s="237"/>
      <c r="F1153" s="238"/>
      <c r="G1153" s="235"/>
      <c r="H1153" s="235"/>
      <c r="I1153" s="205"/>
      <c r="J1153" s="205"/>
      <c r="K1153" s="205"/>
      <c r="L1153" s="205"/>
      <c r="M1153" s="239"/>
      <c r="N1153" s="235"/>
      <c r="O1153" s="240"/>
      <c r="P1153" s="238"/>
      <c r="Q1153" s="240"/>
      <c r="R1153" s="241"/>
      <c r="S1153" s="240"/>
      <c r="T1153" s="240"/>
      <c r="U1153" s="66"/>
    </row>
    <row r="1154" spans="2:21" x14ac:dyDescent="0.25">
      <c r="B1154" s="66"/>
      <c r="C1154" s="235"/>
      <c r="D1154" s="236"/>
      <c r="E1154" s="237"/>
      <c r="F1154" s="238"/>
      <c r="G1154" s="235"/>
      <c r="H1154" s="235"/>
      <c r="I1154" s="205"/>
      <c r="J1154" s="205"/>
      <c r="K1154" s="205"/>
      <c r="L1154" s="205"/>
      <c r="M1154" s="239"/>
      <c r="N1154" s="235"/>
      <c r="O1154" s="240"/>
      <c r="P1154" s="238"/>
      <c r="Q1154" s="240"/>
      <c r="R1154" s="241"/>
      <c r="S1154" s="240"/>
      <c r="T1154" s="240"/>
      <c r="U1154" s="66"/>
    </row>
    <row r="1155" spans="2:21" x14ac:dyDescent="0.25">
      <c r="B1155" s="66"/>
      <c r="C1155" s="235"/>
      <c r="D1155" s="236"/>
      <c r="E1155" s="237"/>
      <c r="F1155" s="238"/>
      <c r="G1155" s="235"/>
      <c r="H1155" s="235"/>
      <c r="I1155" s="205"/>
      <c r="J1155" s="205"/>
      <c r="K1155" s="205"/>
      <c r="L1155" s="205"/>
      <c r="M1155" s="239"/>
      <c r="N1155" s="235"/>
      <c r="O1155" s="240"/>
      <c r="P1155" s="238"/>
      <c r="Q1155" s="240"/>
      <c r="R1155" s="241"/>
      <c r="S1155" s="240"/>
      <c r="T1155" s="240"/>
      <c r="U1155" s="66"/>
    </row>
    <row r="1156" spans="2:21" x14ac:dyDescent="0.25">
      <c r="B1156" s="66"/>
      <c r="C1156" s="235"/>
      <c r="D1156" s="236"/>
      <c r="E1156" s="237"/>
      <c r="F1156" s="238"/>
      <c r="G1156" s="235"/>
      <c r="H1156" s="235"/>
      <c r="I1156" s="205"/>
      <c r="J1156" s="205"/>
      <c r="K1156" s="205"/>
      <c r="L1156" s="205"/>
      <c r="M1156" s="239"/>
      <c r="N1156" s="235"/>
      <c r="O1156" s="240"/>
      <c r="P1156" s="238"/>
      <c r="Q1156" s="240"/>
      <c r="R1156" s="241"/>
      <c r="S1156" s="240"/>
      <c r="T1156" s="240"/>
      <c r="U1156" s="66"/>
    </row>
    <row r="1157" spans="2:21" x14ac:dyDescent="0.25">
      <c r="B1157" s="66"/>
      <c r="C1157" s="235"/>
      <c r="D1157" s="236"/>
      <c r="E1157" s="237"/>
      <c r="F1157" s="238"/>
      <c r="G1157" s="235"/>
      <c r="H1157" s="235"/>
      <c r="I1157" s="205"/>
      <c r="J1157" s="205"/>
      <c r="K1157" s="205"/>
      <c r="L1157" s="205"/>
      <c r="M1157" s="239"/>
      <c r="N1157" s="235"/>
      <c r="O1157" s="240"/>
      <c r="P1157" s="238"/>
      <c r="Q1157" s="240"/>
      <c r="R1157" s="241"/>
      <c r="S1157" s="240"/>
      <c r="T1157" s="240"/>
      <c r="U1157" s="66"/>
    </row>
    <row r="1158" spans="2:21" x14ac:dyDescent="0.25">
      <c r="B1158" s="66"/>
      <c r="C1158" s="235"/>
      <c r="D1158" s="236"/>
      <c r="E1158" s="237"/>
      <c r="F1158" s="238"/>
      <c r="G1158" s="235"/>
      <c r="H1158" s="235"/>
      <c r="I1158" s="205"/>
      <c r="J1158" s="205"/>
      <c r="K1158" s="205"/>
      <c r="L1158" s="205"/>
      <c r="M1158" s="239"/>
      <c r="N1158" s="235"/>
      <c r="O1158" s="240"/>
      <c r="P1158" s="238"/>
      <c r="Q1158" s="240"/>
      <c r="R1158" s="241"/>
      <c r="S1158" s="240"/>
      <c r="T1158" s="240"/>
      <c r="U1158" s="66"/>
    </row>
    <row r="1159" spans="2:21" x14ac:dyDescent="0.25">
      <c r="B1159" s="66"/>
      <c r="C1159" s="235"/>
      <c r="D1159" s="236"/>
      <c r="E1159" s="237"/>
      <c r="F1159" s="238"/>
      <c r="G1159" s="235"/>
      <c r="H1159" s="235"/>
      <c r="I1159" s="205"/>
      <c r="J1159" s="205"/>
      <c r="K1159" s="205"/>
      <c r="L1159" s="205"/>
      <c r="M1159" s="239"/>
      <c r="N1159" s="235"/>
      <c r="O1159" s="240"/>
      <c r="P1159" s="238"/>
      <c r="Q1159" s="240"/>
      <c r="R1159" s="241"/>
      <c r="S1159" s="240"/>
      <c r="T1159" s="240"/>
      <c r="U1159" s="66"/>
    </row>
    <row r="1160" spans="2:21" x14ac:dyDescent="0.25">
      <c r="B1160" s="66"/>
      <c r="C1160" s="235"/>
      <c r="D1160" s="236"/>
      <c r="E1160" s="237"/>
      <c r="F1160" s="238"/>
      <c r="G1160" s="235"/>
      <c r="H1160" s="235"/>
      <c r="I1160" s="205"/>
      <c r="J1160" s="205"/>
      <c r="K1160" s="205"/>
      <c r="L1160" s="205"/>
      <c r="M1160" s="239"/>
      <c r="N1160" s="235"/>
      <c r="O1160" s="240"/>
      <c r="P1160" s="238"/>
      <c r="Q1160" s="240"/>
      <c r="R1160" s="241"/>
      <c r="S1160" s="240"/>
      <c r="T1160" s="240"/>
      <c r="U1160" s="66"/>
    </row>
    <row r="1161" spans="2:21" x14ac:dyDescent="0.25">
      <c r="B1161" s="66"/>
      <c r="C1161" s="235"/>
      <c r="D1161" s="236"/>
      <c r="E1161" s="237"/>
      <c r="F1161" s="238"/>
      <c r="G1161" s="235"/>
      <c r="H1161" s="235"/>
      <c r="I1161" s="205"/>
      <c r="J1161" s="205"/>
      <c r="K1161" s="205"/>
      <c r="L1161" s="205"/>
      <c r="M1161" s="239"/>
      <c r="N1161" s="235"/>
      <c r="O1161" s="240"/>
      <c r="P1161" s="238"/>
      <c r="Q1161" s="240"/>
      <c r="R1161" s="241"/>
      <c r="S1161" s="240"/>
      <c r="T1161" s="240"/>
      <c r="U1161" s="66"/>
    </row>
    <row r="1162" spans="2:21" x14ac:dyDescent="0.25">
      <c r="B1162" s="66"/>
      <c r="C1162" s="235"/>
      <c r="D1162" s="236"/>
      <c r="E1162" s="237"/>
      <c r="F1162" s="238"/>
      <c r="G1162" s="235"/>
      <c r="H1162" s="235"/>
      <c r="I1162" s="205"/>
      <c r="J1162" s="205"/>
      <c r="K1162" s="205"/>
      <c r="L1162" s="205"/>
      <c r="M1162" s="239"/>
      <c r="N1162" s="235"/>
      <c r="O1162" s="240"/>
      <c r="P1162" s="238"/>
      <c r="Q1162" s="240"/>
      <c r="R1162" s="241"/>
      <c r="S1162" s="240"/>
      <c r="T1162" s="240"/>
      <c r="U1162" s="66"/>
    </row>
    <row r="1163" spans="2:21" x14ac:dyDescent="0.25">
      <c r="B1163" s="66"/>
      <c r="C1163" s="235"/>
      <c r="D1163" s="236"/>
      <c r="E1163" s="237"/>
      <c r="F1163" s="238"/>
      <c r="G1163" s="235"/>
      <c r="H1163" s="235"/>
      <c r="I1163" s="205"/>
      <c r="J1163" s="205"/>
      <c r="K1163" s="205"/>
      <c r="L1163" s="205"/>
      <c r="M1163" s="239"/>
      <c r="N1163" s="235"/>
      <c r="O1163" s="240"/>
      <c r="P1163" s="238"/>
      <c r="Q1163" s="240"/>
      <c r="R1163" s="241"/>
      <c r="S1163" s="240"/>
      <c r="T1163" s="240"/>
      <c r="U1163" s="66"/>
    </row>
    <row r="1164" spans="2:21" x14ac:dyDescent="0.25">
      <c r="B1164" s="66"/>
      <c r="C1164" s="235"/>
      <c r="D1164" s="236"/>
      <c r="E1164" s="237"/>
      <c r="F1164" s="238"/>
      <c r="G1164" s="235"/>
      <c r="H1164" s="235"/>
      <c r="I1164" s="205"/>
      <c r="J1164" s="205"/>
      <c r="K1164" s="205"/>
      <c r="L1164" s="205"/>
      <c r="M1164" s="239"/>
      <c r="N1164" s="235"/>
      <c r="O1164" s="240"/>
      <c r="P1164" s="238"/>
      <c r="Q1164" s="240"/>
      <c r="R1164" s="241"/>
      <c r="S1164" s="240"/>
      <c r="T1164" s="240"/>
      <c r="U1164" s="66"/>
    </row>
    <row r="1165" spans="2:21" x14ac:dyDescent="0.25">
      <c r="B1165" s="66"/>
      <c r="C1165" s="235"/>
      <c r="D1165" s="236"/>
      <c r="E1165" s="237"/>
      <c r="F1165" s="238"/>
      <c r="G1165" s="235"/>
      <c r="H1165" s="235"/>
      <c r="I1165" s="205"/>
      <c r="J1165" s="205"/>
      <c r="K1165" s="205"/>
      <c r="L1165" s="205"/>
      <c r="M1165" s="239"/>
      <c r="N1165" s="235"/>
      <c r="O1165" s="240"/>
      <c r="P1165" s="238"/>
      <c r="Q1165" s="240"/>
      <c r="R1165" s="241"/>
      <c r="S1165" s="240"/>
      <c r="T1165" s="240"/>
      <c r="U1165" s="66"/>
    </row>
    <row r="1166" spans="2:21" x14ac:dyDescent="0.25">
      <c r="B1166" s="66"/>
      <c r="C1166" s="235"/>
      <c r="D1166" s="236"/>
      <c r="E1166" s="237"/>
      <c r="F1166" s="238"/>
      <c r="G1166" s="235"/>
      <c r="H1166" s="235"/>
      <c r="I1166" s="205"/>
      <c r="J1166" s="205"/>
      <c r="K1166" s="205"/>
      <c r="L1166" s="205"/>
      <c r="M1166" s="239"/>
      <c r="N1166" s="235"/>
      <c r="O1166" s="240"/>
      <c r="P1166" s="238"/>
      <c r="Q1166" s="240"/>
      <c r="R1166" s="241"/>
      <c r="S1166" s="240"/>
      <c r="T1166" s="240"/>
      <c r="U1166" s="66"/>
    </row>
    <row r="1167" spans="2:21" x14ac:dyDescent="0.25">
      <c r="B1167" s="66"/>
      <c r="C1167" s="235"/>
      <c r="D1167" s="236"/>
      <c r="E1167" s="237"/>
      <c r="F1167" s="238"/>
      <c r="G1167" s="235"/>
      <c r="H1167" s="235"/>
      <c r="I1167" s="205"/>
      <c r="J1167" s="205"/>
      <c r="K1167" s="205"/>
      <c r="L1167" s="205"/>
      <c r="M1167" s="239"/>
      <c r="N1167" s="235"/>
      <c r="O1167" s="240"/>
      <c r="P1167" s="238"/>
      <c r="Q1167" s="240"/>
      <c r="R1167" s="241"/>
      <c r="S1167" s="240"/>
      <c r="T1167" s="240"/>
      <c r="U1167" s="66"/>
    </row>
    <row r="1168" spans="2:21" x14ac:dyDescent="0.25">
      <c r="B1168" s="66"/>
      <c r="C1168" s="235"/>
      <c r="D1168" s="236"/>
      <c r="E1168" s="237"/>
      <c r="F1168" s="238"/>
      <c r="G1168" s="235"/>
      <c r="H1168" s="235"/>
      <c r="I1168" s="205"/>
      <c r="J1168" s="205"/>
      <c r="K1168" s="205"/>
      <c r="L1168" s="205"/>
      <c r="M1168" s="239"/>
      <c r="N1168" s="235"/>
      <c r="O1168" s="240"/>
      <c r="P1168" s="238"/>
      <c r="Q1168" s="240"/>
      <c r="R1168" s="241"/>
      <c r="S1168" s="240"/>
      <c r="T1168" s="240"/>
      <c r="U1168" s="66"/>
    </row>
    <row r="1169" spans="2:21" x14ac:dyDescent="0.25">
      <c r="B1169" s="66"/>
      <c r="C1169" s="235"/>
      <c r="D1169" s="236"/>
      <c r="E1169" s="237"/>
      <c r="F1169" s="238"/>
      <c r="G1169" s="235"/>
      <c r="H1169" s="235"/>
      <c r="I1169" s="205"/>
      <c r="J1169" s="205"/>
      <c r="K1169" s="205"/>
      <c r="L1169" s="205"/>
      <c r="M1169" s="239"/>
      <c r="N1169" s="235"/>
      <c r="O1169" s="240"/>
      <c r="P1169" s="238"/>
      <c r="Q1169" s="240"/>
      <c r="R1169" s="241"/>
      <c r="S1169" s="240"/>
      <c r="T1169" s="240"/>
      <c r="U1169" s="66"/>
    </row>
    <row r="1170" spans="2:21" x14ac:dyDescent="0.25">
      <c r="B1170" s="66"/>
      <c r="C1170" s="235"/>
      <c r="D1170" s="236"/>
      <c r="E1170" s="237"/>
      <c r="F1170" s="238"/>
      <c r="G1170" s="235"/>
      <c r="H1170" s="235"/>
      <c r="I1170" s="205"/>
      <c r="J1170" s="205"/>
      <c r="K1170" s="205"/>
      <c r="L1170" s="205"/>
      <c r="M1170" s="239"/>
      <c r="N1170" s="235"/>
      <c r="O1170" s="240"/>
      <c r="P1170" s="238"/>
      <c r="Q1170" s="240"/>
      <c r="R1170" s="241"/>
      <c r="S1170" s="240"/>
      <c r="T1170" s="240"/>
      <c r="U1170" s="66"/>
    </row>
    <row r="1171" spans="2:21" x14ac:dyDescent="0.25">
      <c r="B1171" s="66"/>
      <c r="C1171" s="235"/>
      <c r="D1171" s="236"/>
      <c r="E1171" s="237"/>
      <c r="F1171" s="238"/>
      <c r="G1171" s="235"/>
      <c r="H1171" s="235"/>
      <c r="I1171" s="205"/>
      <c r="J1171" s="205"/>
      <c r="K1171" s="205"/>
      <c r="L1171" s="205"/>
      <c r="M1171" s="239"/>
      <c r="N1171" s="235"/>
      <c r="O1171" s="240"/>
      <c r="P1171" s="238"/>
      <c r="Q1171" s="240"/>
      <c r="R1171" s="241"/>
      <c r="S1171" s="240"/>
      <c r="T1171" s="240"/>
      <c r="U1171" s="66"/>
    </row>
    <row r="1172" spans="2:21" x14ac:dyDescent="0.25">
      <c r="B1172" s="66"/>
      <c r="C1172" s="235"/>
      <c r="D1172" s="236"/>
      <c r="E1172" s="237"/>
      <c r="F1172" s="238"/>
      <c r="G1172" s="235"/>
      <c r="H1172" s="235"/>
      <c r="I1172" s="205"/>
      <c r="J1172" s="205"/>
      <c r="K1172" s="205"/>
      <c r="L1172" s="205"/>
      <c r="M1172" s="239"/>
      <c r="N1172" s="235"/>
      <c r="O1172" s="240"/>
      <c r="P1172" s="238"/>
      <c r="Q1172" s="240"/>
      <c r="R1172" s="241"/>
      <c r="S1172" s="240"/>
      <c r="T1172" s="240"/>
      <c r="U1172" s="66"/>
    </row>
    <row r="1173" spans="2:21" x14ac:dyDescent="0.25">
      <c r="B1173" s="66"/>
      <c r="C1173" s="235"/>
      <c r="D1173" s="236"/>
      <c r="E1173" s="237"/>
      <c r="F1173" s="238"/>
      <c r="G1173" s="235"/>
      <c r="H1173" s="235"/>
      <c r="I1173" s="205"/>
      <c r="J1173" s="205"/>
      <c r="K1173" s="205"/>
      <c r="L1173" s="205"/>
      <c r="M1173" s="239"/>
      <c r="N1173" s="235"/>
      <c r="O1173" s="240"/>
      <c r="P1173" s="238"/>
      <c r="Q1173" s="240"/>
      <c r="R1173" s="241"/>
      <c r="S1173" s="240"/>
      <c r="T1173" s="240"/>
      <c r="U1173" s="66"/>
    </row>
    <row r="1174" spans="2:21" x14ac:dyDescent="0.25">
      <c r="B1174" s="66"/>
      <c r="C1174" s="235"/>
      <c r="D1174" s="236"/>
      <c r="E1174" s="237"/>
      <c r="F1174" s="238"/>
      <c r="G1174" s="235"/>
      <c r="H1174" s="235"/>
      <c r="I1174" s="205"/>
      <c r="J1174" s="205"/>
      <c r="K1174" s="205"/>
      <c r="L1174" s="205"/>
      <c r="M1174" s="239"/>
      <c r="N1174" s="235"/>
      <c r="O1174" s="240"/>
      <c r="P1174" s="238"/>
      <c r="Q1174" s="240"/>
      <c r="R1174" s="241"/>
      <c r="S1174" s="240"/>
      <c r="T1174" s="240"/>
      <c r="U1174" s="66"/>
    </row>
    <row r="1175" spans="2:21" x14ac:dyDescent="0.25">
      <c r="B1175" s="66"/>
      <c r="C1175" s="235"/>
      <c r="D1175" s="236"/>
      <c r="E1175" s="237"/>
      <c r="F1175" s="238"/>
      <c r="G1175" s="235"/>
      <c r="H1175" s="235"/>
      <c r="I1175" s="205"/>
      <c r="J1175" s="205"/>
      <c r="K1175" s="205"/>
      <c r="L1175" s="205"/>
      <c r="M1175" s="239"/>
      <c r="N1175" s="235"/>
      <c r="O1175" s="240"/>
      <c r="P1175" s="238"/>
      <c r="Q1175" s="240"/>
      <c r="R1175" s="241"/>
      <c r="S1175" s="240"/>
      <c r="T1175" s="240"/>
      <c r="U1175" s="66"/>
    </row>
    <row r="1176" spans="2:21" x14ac:dyDescent="0.25">
      <c r="B1176" s="66"/>
      <c r="C1176" s="235"/>
      <c r="D1176" s="236"/>
      <c r="E1176" s="237"/>
      <c r="F1176" s="238"/>
      <c r="G1176" s="235"/>
      <c r="H1176" s="235"/>
      <c r="I1176" s="205"/>
      <c r="J1176" s="205"/>
      <c r="K1176" s="205"/>
      <c r="L1176" s="205"/>
      <c r="M1176" s="239"/>
      <c r="N1176" s="235"/>
      <c r="O1176" s="240"/>
      <c r="P1176" s="238"/>
      <c r="Q1176" s="240"/>
      <c r="R1176" s="241"/>
      <c r="S1176" s="240"/>
      <c r="T1176" s="240"/>
      <c r="U1176" s="66"/>
    </row>
    <row r="1177" spans="2:21" x14ac:dyDescent="0.25">
      <c r="B1177" s="66"/>
      <c r="C1177" s="235"/>
      <c r="D1177" s="236"/>
      <c r="E1177" s="237"/>
      <c r="F1177" s="238"/>
      <c r="G1177" s="235"/>
      <c r="H1177" s="235"/>
      <c r="I1177" s="205"/>
      <c r="J1177" s="205"/>
      <c r="K1177" s="205"/>
      <c r="L1177" s="205"/>
      <c r="M1177" s="239"/>
      <c r="N1177" s="235"/>
      <c r="O1177" s="240"/>
      <c r="P1177" s="238"/>
      <c r="Q1177" s="240"/>
      <c r="R1177" s="241"/>
      <c r="S1177" s="240"/>
      <c r="T1177" s="240"/>
      <c r="U1177" s="66"/>
    </row>
    <row r="1178" spans="2:21" x14ac:dyDescent="0.25">
      <c r="B1178" s="66"/>
      <c r="C1178" s="235"/>
      <c r="D1178" s="236"/>
      <c r="E1178" s="237"/>
      <c r="F1178" s="238"/>
      <c r="G1178" s="235"/>
      <c r="H1178" s="235"/>
      <c r="I1178" s="205"/>
      <c r="J1178" s="205"/>
      <c r="K1178" s="205"/>
      <c r="L1178" s="205"/>
      <c r="M1178" s="239"/>
      <c r="N1178" s="235"/>
      <c r="O1178" s="240"/>
      <c r="P1178" s="238"/>
      <c r="Q1178" s="240"/>
      <c r="R1178" s="241"/>
      <c r="S1178" s="240"/>
      <c r="T1178" s="240"/>
      <c r="U1178" s="66"/>
    </row>
    <row r="1179" spans="2:21" x14ac:dyDescent="0.25">
      <c r="B1179" s="66"/>
      <c r="C1179" s="235"/>
      <c r="D1179" s="236"/>
      <c r="E1179" s="237"/>
      <c r="F1179" s="238"/>
      <c r="G1179" s="235"/>
      <c r="H1179" s="235"/>
      <c r="I1179" s="205"/>
      <c r="J1179" s="205"/>
      <c r="K1179" s="205"/>
      <c r="L1179" s="205"/>
      <c r="M1179" s="239"/>
      <c r="N1179" s="235"/>
      <c r="O1179" s="240"/>
      <c r="P1179" s="238"/>
      <c r="Q1179" s="240"/>
      <c r="R1179" s="241"/>
      <c r="S1179" s="240"/>
      <c r="T1179" s="240"/>
      <c r="U1179" s="66"/>
    </row>
    <row r="1180" spans="2:21" x14ac:dyDescent="0.25">
      <c r="B1180" s="66"/>
      <c r="C1180" s="235"/>
      <c r="D1180" s="236"/>
      <c r="E1180" s="237"/>
      <c r="F1180" s="238"/>
      <c r="G1180" s="235"/>
      <c r="H1180" s="235"/>
      <c r="I1180" s="205"/>
      <c r="J1180" s="205"/>
      <c r="K1180" s="205"/>
      <c r="L1180" s="205"/>
      <c r="M1180" s="239"/>
      <c r="N1180" s="235"/>
      <c r="O1180" s="240"/>
      <c r="P1180" s="238"/>
      <c r="Q1180" s="240"/>
      <c r="R1180" s="241"/>
      <c r="S1180" s="240"/>
      <c r="T1180" s="240"/>
      <c r="U1180" s="66"/>
    </row>
    <row r="1181" spans="2:21" x14ac:dyDescent="0.25">
      <c r="B1181" s="66"/>
      <c r="C1181" s="235"/>
      <c r="D1181" s="236"/>
      <c r="E1181" s="237"/>
      <c r="F1181" s="238"/>
      <c r="G1181" s="235"/>
      <c r="H1181" s="235"/>
      <c r="I1181" s="205"/>
      <c r="J1181" s="205"/>
      <c r="K1181" s="205"/>
      <c r="L1181" s="205"/>
      <c r="M1181" s="239"/>
      <c r="N1181" s="235"/>
      <c r="O1181" s="240"/>
      <c r="P1181" s="238"/>
      <c r="Q1181" s="240"/>
      <c r="R1181" s="241"/>
      <c r="S1181" s="240"/>
      <c r="T1181" s="240"/>
      <c r="U1181" s="66"/>
    </row>
    <row r="1182" spans="2:21" x14ac:dyDescent="0.25">
      <c r="B1182" s="66"/>
      <c r="C1182" s="235"/>
      <c r="D1182" s="236"/>
      <c r="E1182" s="237"/>
      <c r="F1182" s="238"/>
      <c r="G1182" s="235"/>
      <c r="H1182" s="235"/>
      <c r="I1182" s="205"/>
      <c r="J1182" s="205"/>
      <c r="K1182" s="205"/>
      <c r="L1182" s="205"/>
      <c r="M1182" s="239"/>
      <c r="N1182" s="235"/>
      <c r="O1182" s="240"/>
      <c r="P1182" s="238"/>
      <c r="Q1182" s="240"/>
      <c r="R1182" s="241"/>
      <c r="S1182" s="240"/>
      <c r="T1182" s="240"/>
      <c r="U1182" s="66"/>
    </row>
    <row r="1183" spans="2:21" x14ac:dyDescent="0.25">
      <c r="B1183" s="66"/>
      <c r="C1183" s="235"/>
      <c r="D1183" s="236"/>
      <c r="E1183" s="237"/>
      <c r="F1183" s="238"/>
      <c r="G1183" s="235"/>
      <c r="H1183" s="235"/>
      <c r="I1183" s="205"/>
      <c r="J1183" s="205"/>
      <c r="K1183" s="205"/>
      <c r="L1183" s="205"/>
      <c r="M1183" s="239"/>
      <c r="N1183" s="235"/>
      <c r="O1183" s="240"/>
      <c r="P1183" s="238"/>
      <c r="Q1183" s="240"/>
      <c r="R1183" s="241"/>
      <c r="S1183" s="240"/>
      <c r="T1183" s="240"/>
      <c r="U1183" s="66"/>
    </row>
    <row r="1184" spans="2:21" x14ac:dyDescent="0.25">
      <c r="B1184" s="66"/>
      <c r="C1184" s="235"/>
      <c r="D1184" s="236"/>
      <c r="E1184" s="237"/>
      <c r="F1184" s="238"/>
      <c r="G1184" s="235"/>
      <c r="H1184" s="235"/>
      <c r="I1184" s="205"/>
      <c r="J1184" s="205"/>
      <c r="K1184" s="205"/>
      <c r="L1184" s="205"/>
      <c r="M1184" s="239"/>
      <c r="N1184" s="235"/>
      <c r="O1184" s="240"/>
      <c r="P1184" s="238"/>
      <c r="Q1184" s="240"/>
      <c r="R1184" s="241"/>
      <c r="S1184" s="240"/>
      <c r="T1184" s="240"/>
      <c r="U1184" s="66"/>
    </row>
    <row r="1185" spans="2:21" x14ac:dyDescent="0.25">
      <c r="B1185" s="66"/>
      <c r="C1185" s="235"/>
      <c r="D1185" s="236"/>
      <c r="E1185" s="237"/>
      <c r="F1185" s="238"/>
      <c r="G1185" s="235"/>
      <c r="H1185" s="235"/>
      <c r="I1185" s="205"/>
      <c r="J1185" s="205"/>
      <c r="K1185" s="205"/>
      <c r="L1185" s="205"/>
      <c r="M1185" s="239"/>
      <c r="N1185" s="235"/>
      <c r="O1185" s="240"/>
      <c r="P1185" s="238"/>
      <c r="Q1185" s="240"/>
      <c r="R1185" s="241"/>
      <c r="S1185" s="240"/>
      <c r="T1185" s="240"/>
      <c r="U1185" s="66"/>
    </row>
    <row r="1186" spans="2:21" x14ac:dyDescent="0.25">
      <c r="B1186" s="66"/>
      <c r="C1186" s="235"/>
      <c r="D1186" s="236"/>
      <c r="E1186" s="237"/>
      <c r="F1186" s="238"/>
      <c r="G1186" s="235"/>
      <c r="H1186" s="235"/>
      <c r="I1186" s="205"/>
      <c r="J1186" s="205"/>
      <c r="K1186" s="205"/>
      <c r="L1186" s="205"/>
      <c r="M1186" s="239"/>
      <c r="N1186" s="235"/>
      <c r="O1186" s="240"/>
      <c r="P1186" s="238"/>
      <c r="Q1186" s="240"/>
      <c r="R1186" s="241"/>
      <c r="S1186" s="240"/>
      <c r="T1186" s="240"/>
      <c r="U1186" s="66"/>
    </row>
    <row r="1187" spans="2:21" x14ac:dyDescent="0.25">
      <c r="B1187" s="66"/>
      <c r="C1187" s="235"/>
      <c r="D1187" s="236"/>
      <c r="E1187" s="237"/>
      <c r="F1187" s="238"/>
      <c r="G1187" s="235"/>
      <c r="H1187" s="235"/>
      <c r="I1187" s="205"/>
      <c r="J1187" s="205"/>
      <c r="K1187" s="205"/>
      <c r="L1187" s="205"/>
      <c r="M1187" s="239"/>
      <c r="N1187" s="235"/>
      <c r="O1187" s="240"/>
      <c r="P1187" s="238"/>
      <c r="Q1187" s="240"/>
      <c r="R1187" s="241"/>
      <c r="S1187" s="240"/>
      <c r="T1187" s="240"/>
      <c r="U1187" s="66"/>
    </row>
    <row r="1188" spans="2:21" x14ac:dyDescent="0.25">
      <c r="B1188" s="66"/>
      <c r="C1188" s="235"/>
      <c r="D1188" s="236"/>
      <c r="E1188" s="237"/>
      <c r="F1188" s="238"/>
      <c r="G1188" s="235"/>
      <c r="H1188" s="235"/>
      <c r="I1188" s="205"/>
      <c r="J1188" s="205"/>
      <c r="K1188" s="205"/>
      <c r="L1188" s="205"/>
      <c r="M1188" s="239"/>
      <c r="N1188" s="235"/>
      <c r="O1188" s="240"/>
      <c r="P1188" s="238"/>
      <c r="Q1188" s="240"/>
      <c r="R1188" s="241"/>
      <c r="S1188" s="240"/>
      <c r="T1188" s="240"/>
      <c r="U1188" s="66"/>
    </row>
    <row r="1189" spans="2:21" x14ac:dyDescent="0.25">
      <c r="B1189" s="66"/>
      <c r="C1189" s="235"/>
      <c r="D1189" s="236"/>
      <c r="E1189" s="237"/>
      <c r="F1189" s="238"/>
      <c r="G1189" s="235"/>
      <c r="H1189" s="235"/>
      <c r="I1189" s="205"/>
      <c r="J1189" s="205"/>
      <c r="K1189" s="205"/>
      <c r="L1189" s="205"/>
      <c r="M1189" s="239"/>
      <c r="N1189" s="235"/>
      <c r="O1189" s="240"/>
      <c r="P1189" s="238"/>
      <c r="Q1189" s="240"/>
      <c r="R1189" s="241"/>
      <c r="S1189" s="240"/>
      <c r="T1189" s="240"/>
      <c r="U1189" s="66"/>
    </row>
    <row r="1190" spans="2:21" x14ac:dyDescent="0.25">
      <c r="B1190" s="66"/>
      <c r="C1190" s="235"/>
      <c r="D1190" s="236"/>
      <c r="E1190" s="237"/>
      <c r="F1190" s="238"/>
      <c r="G1190" s="235"/>
      <c r="H1190" s="235"/>
      <c r="I1190" s="205"/>
      <c r="J1190" s="205"/>
      <c r="K1190" s="205"/>
      <c r="L1190" s="205"/>
      <c r="M1190" s="239"/>
      <c r="N1190" s="235"/>
      <c r="O1190" s="240"/>
      <c r="P1190" s="238"/>
      <c r="Q1190" s="240"/>
      <c r="R1190" s="241"/>
      <c r="S1190" s="240"/>
      <c r="T1190" s="240"/>
      <c r="U1190" s="66"/>
    </row>
    <row r="1191" spans="2:21" x14ac:dyDescent="0.25">
      <c r="B1191" s="66"/>
      <c r="C1191" s="235"/>
      <c r="D1191" s="236"/>
      <c r="E1191" s="237"/>
      <c r="F1191" s="238"/>
      <c r="G1191" s="235"/>
      <c r="H1191" s="235"/>
      <c r="I1191" s="205"/>
      <c r="J1191" s="205"/>
      <c r="K1191" s="205"/>
      <c r="L1191" s="205"/>
      <c r="M1191" s="239"/>
      <c r="N1191" s="235"/>
      <c r="O1191" s="240"/>
      <c r="P1191" s="238"/>
      <c r="Q1191" s="240"/>
      <c r="R1191" s="241"/>
      <c r="S1191" s="240"/>
      <c r="T1191" s="240"/>
      <c r="U1191" s="66"/>
    </row>
    <row r="1192" spans="2:21" x14ac:dyDescent="0.25">
      <c r="B1192" s="66"/>
      <c r="C1192" s="235"/>
      <c r="D1192" s="236"/>
      <c r="E1192" s="237"/>
      <c r="F1192" s="238"/>
      <c r="G1192" s="235"/>
      <c r="H1192" s="235"/>
      <c r="I1192" s="205"/>
      <c r="J1192" s="205"/>
      <c r="K1192" s="205"/>
      <c r="L1192" s="205"/>
      <c r="M1192" s="239"/>
      <c r="N1192" s="235"/>
      <c r="O1192" s="240"/>
      <c r="P1192" s="238"/>
      <c r="Q1192" s="240"/>
      <c r="R1192" s="241"/>
      <c r="S1192" s="240"/>
      <c r="T1192" s="240"/>
      <c r="U1192" s="66"/>
    </row>
    <row r="1193" spans="2:21" x14ac:dyDescent="0.25">
      <c r="B1193" s="66"/>
      <c r="C1193" s="235"/>
      <c r="D1193" s="236"/>
      <c r="E1193" s="237"/>
      <c r="F1193" s="238"/>
      <c r="G1193" s="235"/>
      <c r="H1193" s="235"/>
      <c r="I1193" s="205"/>
      <c r="J1193" s="205"/>
      <c r="K1193" s="205"/>
      <c r="L1193" s="205"/>
      <c r="M1193" s="239"/>
      <c r="N1193" s="235"/>
      <c r="O1193" s="240"/>
      <c r="P1193" s="238"/>
      <c r="Q1193" s="240"/>
      <c r="R1193" s="241"/>
      <c r="S1193" s="240"/>
      <c r="T1193" s="240"/>
      <c r="U1193" s="66"/>
    </row>
    <row r="1194" spans="2:21" x14ac:dyDescent="0.25">
      <c r="B1194" s="66"/>
      <c r="C1194" s="235"/>
      <c r="D1194" s="236"/>
      <c r="E1194" s="237"/>
      <c r="F1194" s="238"/>
      <c r="G1194" s="235"/>
      <c r="H1194" s="235"/>
      <c r="I1194" s="205"/>
      <c r="J1194" s="205"/>
      <c r="K1194" s="205"/>
      <c r="L1194" s="205"/>
      <c r="M1194" s="239"/>
      <c r="N1194" s="235"/>
      <c r="O1194" s="240"/>
      <c r="P1194" s="238"/>
      <c r="Q1194" s="240"/>
      <c r="R1194" s="241"/>
      <c r="S1194" s="240"/>
      <c r="T1194" s="240"/>
      <c r="U1194" s="66"/>
    </row>
    <row r="1195" spans="2:21" x14ac:dyDescent="0.25">
      <c r="B1195" s="66"/>
      <c r="C1195" s="235"/>
      <c r="D1195" s="236"/>
      <c r="E1195" s="237"/>
      <c r="F1195" s="238"/>
      <c r="G1195" s="235"/>
      <c r="H1195" s="235"/>
      <c r="I1195" s="205"/>
      <c r="J1195" s="205"/>
      <c r="K1195" s="205"/>
      <c r="L1195" s="205"/>
      <c r="M1195" s="239"/>
      <c r="N1195" s="235"/>
      <c r="O1195" s="240"/>
      <c r="P1195" s="238"/>
      <c r="Q1195" s="240"/>
      <c r="R1195" s="241"/>
      <c r="S1195" s="240"/>
      <c r="T1195" s="240"/>
      <c r="U1195" s="66"/>
    </row>
    <row r="1196" spans="2:21" x14ac:dyDescent="0.25">
      <c r="B1196" s="66"/>
      <c r="C1196" s="235"/>
      <c r="D1196" s="236"/>
      <c r="E1196" s="237"/>
      <c r="F1196" s="238"/>
      <c r="G1196" s="235"/>
      <c r="H1196" s="235"/>
      <c r="I1196" s="205"/>
      <c r="J1196" s="205"/>
      <c r="K1196" s="205"/>
      <c r="L1196" s="205"/>
      <c r="M1196" s="239"/>
      <c r="N1196" s="235"/>
      <c r="O1196" s="240"/>
      <c r="P1196" s="238"/>
      <c r="Q1196" s="240"/>
      <c r="R1196" s="241"/>
      <c r="S1196" s="240"/>
      <c r="T1196" s="240"/>
      <c r="U1196" s="66"/>
    </row>
    <row r="1197" spans="2:21" x14ac:dyDescent="0.25">
      <c r="B1197" s="66"/>
      <c r="C1197" s="235"/>
      <c r="D1197" s="236"/>
      <c r="E1197" s="237"/>
      <c r="F1197" s="238"/>
      <c r="G1197" s="235"/>
      <c r="H1197" s="235"/>
      <c r="I1197" s="205"/>
      <c r="J1197" s="205"/>
      <c r="K1197" s="205"/>
      <c r="L1197" s="205"/>
      <c r="M1197" s="239"/>
      <c r="N1197" s="235"/>
      <c r="O1197" s="240"/>
      <c r="P1197" s="238"/>
      <c r="Q1197" s="240"/>
      <c r="R1197" s="241"/>
      <c r="S1197" s="240"/>
      <c r="T1197" s="240"/>
      <c r="U1197" s="66"/>
    </row>
    <row r="1198" spans="2:21" x14ac:dyDescent="0.25">
      <c r="B1198" s="66"/>
      <c r="C1198" s="235"/>
      <c r="D1198" s="236"/>
      <c r="E1198" s="237"/>
      <c r="F1198" s="238"/>
      <c r="G1198" s="235"/>
      <c r="H1198" s="235"/>
      <c r="I1198" s="205"/>
      <c r="J1198" s="205"/>
      <c r="K1198" s="205"/>
      <c r="L1198" s="205"/>
      <c r="M1198" s="239"/>
      <c r="N1198" s="235"/>
      <c r="O1198" s="240"/>
      <c r="P1198" s="238"/>
      <c r="Q1198" s="240"/>
      <c r="R1198" s="241"/>
      <c r="S1198" s="240"/>
      <c r="T1198" s="240"/>
      <c r="U1198" s="66"/>
    </row>
    <row r="1199" spans="2:21" x14ac:dyDescent="0.25">
      <c r="B1199" s="66"/>
      <c r="C1199" s="235"/>
      <c r="D1199" s="236"/>
      <c r="E1199" s="237"/>
      <c r="F1199" s="238"/>
      <c r="G1199" s="235"/>
      <c r="H1199" s="235"/>
      <c r="I1199" s="205"/>
      <c r="J1199" s="205"/>
      <c r="K1199" s="205"/>
      <c r="L1199" s="205"/>
      <c r="M1199" s="239"/>
      <c r="N1199" s="235"/>
      <c r="O1199" s="240"/>
      <c r="P1199" s="238"/>
      <c r="Q1199" s="240"/>
      <c r="R1199" s="241"/>
      <c r="S1199" s="240"/>
      <c r="T1199" s="240"/>
      <c r="U1199" s="66"/>
    </row>
    <row r="1200" spans="2:21" x14ac:dyDescent="0.25">
      <c r="B1200" s="66"/>
      <c r="C1200" s="235"/>
      <c r="D1200" s="236"/>
      <c r="E1200" s="237"/>
      <c r="F1200" s="238"/>
      <c r="G1200" s="235"/>
      <c r="H1200" s="235"/>
      <c r="I1200" s="205"/>
      <c r="J1200" s="205"/>
      <c r="K1200" s="205"/>
      <c r="L1200" s="205"/>
      <c r="M1200" s="239"/>
      <c r="N1200" s="235"/>
      <c r="O1200" s="240"/>
      <c r="P1200" s="238"/>
      <c r="Q1200" s="240"/>
      <c r="R1200" s="241"/>
      <c r="S1200" s="240"/>
      <c r="T1200" s="240"/>
      <c r="U1200" s="66"/>
    </row>
    <row r="1201" spans="2:21" x14ac:dyDescent="0.25">
      <c r="B1201" s="66"/>
      <c r="C1201" s="235"/>
      <c r="D1201" s="236"/>
      <c r="E1201" s="237"/>
      <c r="F1201" s="238"/>
      <c r="G1201" s="235"/>
      <c r="H1201" s="235"/>
      <c r="I1201" s="205"/>
      <c r="J1201" s="205"/>
      <c r="K1201" s="205"/>
      <c r="L1201" s="205"/>
      <c r="M1201" s="239"/>
      <c r="N1201" s="235"/>
      <c r="O1201" s="240"/>
      <c r="P1201" s="238"/>
      <c r="Q1201" s="240"/>
      <c r="R1201" s="241"/>
      <c r="S1201" s="240"/>
      <c r="T1201" s="240"/>
      <c r="U1201" s="66"/>
    </row>
    <row r="1202" spans="2:21" x14ac:dyDescent="0.25">
      <c r="B1202" s="66"/>
      <c r="C1202" s="235"/>
      <c r="D1202" s="236"/>
      <c r="E1202" s="237"/>
      <c r="F1202" s="238"/>
      <c r="G1202" s="235"/>
      <c r="H1202" s="235"/>
      <c r="I1202" s="205"/>
      <c r="J1202" s="205"/>
      <c r="K1202" s="205"/>
      <c r="L1202" s="205"/>
      <c r="M1202" s="239"/>
      <c r="N1202" s="235"/>
      <c r="O1202" s="240"/>
      <c r="P1202" s="238"/>
      <c r="Q1202" s="240"/>
      <c r="R1202" s="241"/>
      <c r="S1202" s="240"/>
      <c r="T1202" s="240"/>
      <c r="U1202" s="66"/>
    </row>
    <row r="1203" spans="2:21" x14ac:dyDescent="0.25">
      <c r="B1203" s="66"/>
      <c r="C1203" s="235"/>
      <c r="D1203" s="236"/>
      <c r="E1203" s="237"/>
      <c r="F1203" s="238"/>
      <c r="G1203" s="235"/>
      <c r="H1203" s="235"/>
      <c r="I1203" s="205"/>
      <c r="J1203" s="205"/>
      <c r="K1203" s="205"/>
      <c r="L1203" s="205"/>
      <c r="M1203" s="239"/>
      <c r="N1203" s="235"/>
      <c r="O1203" s="240"/>
      <c r="P1203" s="238"/>
      <c r="Q1203" s="240"/>
      <c r="R1203" s="241"/>
      <c r="S1203" s="240"/>
      <c r="T1203" s="240"/>
      <c r="U1203" s="66"/>
    </row>
    <row r="1204" spans="2:21" x14ac:dyDescent="0.25">
      <c r="B1204" s="66"/>
      <c r="C1204" s="235"/>
      <c r="D1204" s="236"/>
      <c r="E1204" s="237"/>
      <c r="F1204" s="238"/>
      <c r="G1204" s="235"/>
      <c r="H1204" s="235"/>
      <c r="I1204" s="205"/>
      <c r="J1204" s="205"/>
      <c r="K1204" s="205"/>
      <c r="L1204" s="205"/>
      <c r="M1204" s="239"/>
      <c r="N1204" s="235"/>
      <c r="O1204" s="240"/>
      <c r="P1204" s="238"/>
      <c r="Q1204" s="240"/>
      <c r="R1204" s="241"/>
      <c r="S1204" s="240"/>
      <c r="T1204" s="240"/>
      <c r="U1204" s="66"/>
    </row>
    <row r="1205" spans="2:21" x14ac:dyDescent="0.25">
      <c r="B1205" s="66"/>
      <c r="C1205" s="235"/>
      <c r="D1205" s="236"/>
      <c r="E1205" s="237"/>
      <c r="F1205" s="238"/>
      <c r="G1205" s="235"/>
      <c r="H1205" s="235"/>
      <c r="I1205" s="205"/>
      <c r="J1205" s="205"/>
      <c r="K1205" s="205"/>
      <c r="L1205" s="205"/>
      <c r="M1205" s="239"/>
      <c r="N1205" s="235"/>
      <c r="O1205" s="240"/>
      <c r="P1205" s="238"/>
      <c r="Q1205" s="240"/>
      <c r="R1205" s="241"/>
      <c r="S1205" s="240"/>
      <c r="T1205" s="240"/>
      <c r="U1205" s="66"/>
    </row>
    <row r="1206" spans="2:21" x14ac:dyDescent="0.25">
      <c r="B1206" s="66"/>
      <c r="C1206" s="235"/>
      <c r="D1206" s="236"/>
      <c r="E1206" s="237"/>
      <c r="F1206" s="238"/>
      <c r="G1206" s="235"/>
      <c r="H1206" s="235"/>
      <c r="I1206" s="205"/>
      <c r="J1206" s="205"/>
      <c r="K1206" s="205"/>
      <c r="L1206" s="205"/>
      <c r="M1206" s="239"/>
      <c r="N1206" s="235"/>
      <c r="O1206" s="240"/>
      <c r="P1206" s="238"/>
      <c r="Q1206" s="240"/>
      <c r="R1206" s="241"/>
      <c r="S1206" s="240"/>
      <c r="T1206" s="240"/>
      <c r="U1206" s="66"/>
    </row>
    <row r="1207" spans="2:21" x14ac:dyDescent="0.25">
      <c r="B1207" s="66"/>
      <c r="C1207" s="235"/>
      <c r="D1207" s="236"/>
      <c r="E1207" s="237"/>
      <c r="F1207" s="238"/>
      <c r="G1207" s="235"/>
      <c r="H1207" s="235"/>
      <c r="I1207" s="205"/>
      <c r="J1207" s="205"/>
      <c r="K1207" s="205"/>
      <c r="L1207" s="205"/>
      <c r="M1207" s="239"/>
      <c r="N1207" s="235"/>
      <c r="O1207" s="240"/>
      <c r="P1207" s="238"/>
      <c r="Q1207" s="240"/>
      <c r="R1207" s="241"/>
      <c r="S1207" s="240"/>
      <c r="T1207" s="240"/>
      <c r="U1207" s="66"/>
    </row>
    <row r="1208" spans="2:21" x14ac:dyDescent="0.25">
      <c r="B1208" s="66"/>
      <c r="C1208" s="235"/>
      <c r="D1208" s="236"/>
      <c r="E1208" s="237"/>
      <c r="F1208" s="238"/>
      <c r="G1208" s="235"/>
      <c r="H1208" s="235"/>
      <c r="I1208" s="205"/>
      <c r="J1208" s="205"/>
      <c r="K1208" s="205"/>
      <c r="L1208" s="205"/>
      <c r="M1208" s="239"/>
      <c r="N1208" s="235"/>
      <c r="O1208" s="240"/>
      <c r="P1208" s="238"/>
      <c r="Q1208" s="240"/>
      <c r="R1208" s="241"/>
      <c r="S1208" s="240"/>
      <c r="T1208" s="240"/>
      <c r="U1208" s="66"/>
    </row>
    <row r="1209" spans="2:21" x14ac:dyDescent="0.25">
      <c r="B1209" s="66"/>
      <c r="C1209" s="235"/>
      <c r="D1209" s="236"/>
      <c r="E1209" s="237"/>
      <c r="F1209" s="238"/>
      <c r="G1209" s="235"/>
      <c r="H1209" s="235"/>
      <c r="I1209" s="205"/>
      <c r="J1209" s="205"/>
      <c r="K1209" s="205"/>
      <c r="L1209" s="205"/>
      <c r="M1209" s="239"/>
      <c r="N1209" s="235"/>
      <c r="O1209" s="240"/>
      <c r="P1209" s="238"/>
      <c r="Q1209" s="240"/>
      <c r="R1209" s="241"/>
      <c r="S1209" s="240"/>
      <c r="T1209" s="240"/>
      <c r="U1209" s="66"/>
    </row>
    <row r="1210" spans="2:21" x14ac:dyDescent="0.25">
      <c r="B1210" s="66"/>
      <c r="C1210" s="235"/>
      <c r="D1210" s="236"/>
      <c r="E1210" s="237"/>
      <c r="F1210" s="238"/>
      <c r="G1210" s="235"/>
      <c r="H1210" s="235"/>
      <c r="I1210" s="205"/>
      <c r="J1210" s="205"/>
      <c r="K1210" s="205"/>
      <c r="L1210" s="205"/>
      <c r="M1210" s="239"/>
      <c r="N1210" s="235"/>
      <c r="O1210" s="240"/>
      <c r="P1210" s="238"/>
      <c r="Q1210" s="240"/>
      <c r="R1210" s="241"/>
      <c r="S1210" s="240"/>
      <c r="T1210" s="240"/>
      <c r="U1210" s="66"/>
    </row>
    <row r="1211" spans="2:21" x14ac:dyDescent="0.25">
      <c r="B1211" s="66"/>
      <c r="C1211" s="235"/>
      <c r="D1211" s="236"/>
      <c r="E1211" s="237"/>
      <c r="F1211" s="238"/>
      <c r="G1211" s="235"/>
      <c r="H1211" s="235"/>
      <c r="I1211" s="205"/>
      <c r="J1211" s="205"/>
      <c r="K1211" s="205"/>
      <c r="L1211" s="205"/>
      <c r="M1211" s="239"/>
      <c r="N1211" s="235"/>
      <c r="O1211" s="240"/>
      <c r="P1211" s="238"/>
      <c r="Q1211" s="240"/>
      <c r="R1211" s="241"/>
      <c r="S1211" s="240"/>
      <c r="T1211" s="240"/>
      <c r="U1211" s="66"/>
    </row>
    <row r="1212" spans="2:21" x14ac:dyDescent="0.25">
      <c r="B1212" s="66"/>
      <c r="C1212" s="235"/>
      <c r="D1212" s="236"/>
      <c r="E1212" s="237"/>
      <c r="F1212" s="238"/>
      <c r="G1212" s="235"/>
      <c r="H1212" s="235"/>
      <c r="I1212" s="205"/>
      <c r="J1212" s="205"/>
      <c r="K1212" s="205"/>
      <c r="L1212" s="205"/>
      <c r="M1212" s="239"/>
      <c r="N1212" s="235"/>
      <c r="O1212" s="240"/>
      <c r="P1212" s="238"/>
      <c r="Q1212" s="240"/>
      <c r="R1212" s="241"/>
      <c r="S1212" s="240"/>
      <c r="T1212" s="240"/>
      <c r="U1212" s="66"/>
    </row>
    <row r="1213" spans="2:21" x14ac:dyDescent="0.25">
      <c r="B1213" s="66"/>
      <c r="C1213" s="235"/>
      <c r="D1213" s="236"/>
      <c r="E1213" s="237"/>
      <c r="F1213" s="238"/>
      <c r="G1213" s="235"/>
      <c r="H1213" s="235"/>
      <c r="I1213" s="205"/>
      <c r="J1213" s="205"/>
      <c r="K1213" s="205"/>
      <c r="L1213" s="205"/>
      <c r="M1213" s="239"/>
      <c r="N1213" s="235"/>
      <c r="O1213" s="240"/>
      <c r="P1213" s="238"/>
      <c r="Q1213" s="240"/>
      <c r="R1213" s="241"/>
      <c r="S1213" s="240"/>
      <c r="T1213" s="240"/>
      <c r="U1213" s="66"/>
    </row>
    <row r="1214" spans="2:21" x14ac:dyDescent="0.25">
      <c r="B1214" s="66"/>
      <c r="C1214" s="235"/>
      <c r="D1214" s="236"/>
      <c r="E1214" s="237"/>
      <c r="F1214" s="238"/>
      <c r="G1214" s="235"/>
      <c r="H1214" s="235"/>
      <c r="I1214" s="205"/>
      <c r="J1214" s="205"/>
      <c r="K1214" s="205"/>
      <c r="L1214" s="205"/>
      <c r="M1214" s="239"/>
      <c r="N1214" s="235"/>
      <c r="O1214" s="240"/>
      <c r="P1214" s="238"/>
      <c r="Q1214" s="240"/>
      <c r="R1214" s="241"/>
      <c r="S1214" s="240"/>
      <c r="T1214" s="240"/>
      <c r="U1214" s="66"/>
    </row>
    <row r="1215" spans="2:21" x14ac:dyDescent="0.25">
      <c r="B1215" s="66"/>
      <c r="C1215" s="235"/>
      <c r="D1215" s="236"/>
      <c r="E1215" s="237"/>
      <c r="F1215" s="238"/>
      <c r="G1215" s="235"/>
      <c r="H1215" s="235"/>
      <c r="I1215" s="205"/>
      <c r="J1215" s="205"/>
      <c r="K1215" s="205"/>
      <c r="L1215" s="205"/>
      <c r="M1215" s="239"/>
      <c r="N1215" s="235"/>
      <c r="O1215" s="240"/>
      <c r="P1215" s="238"/>
      <c r="Q1215" s="240"/>
      <c r="R1215" s="241"/>
      <c r="S1215" s="240"/>
      <c r="T1215" s="240"/>
      <c r="U1215" s="66"/>
    </row>
    <row r="1216" spans="2:21" x14ac:dyDescent="0.25">
      <c r="B1216" s="66"/>
      <c r="C1216" s="235"/>
      <c r="D1216" s="236"/>
      <c r="E1216" s="237"/>
      <c r="F1216" s="238"/>
      <c r="G1216" s="235"/>
      <c r="H1216" s="235"/>
      <c r="I1216" s="205"/>
      <c r="J1216" s="205"/>
      <c r="K1216" s="205"/>
      <c r="L1216" s="205"/>
      <c r="M1216" s="239"/>
      <c r="N1216" s="235"/>
      <c r="O1216" s="240"/>
      <c r="P1216" s="238"/>
      <c r="Q1216" s="240"/>
      <c r="R1216" s="241"/>
      <c r="S1216" s="240"/>
      <c r="T1216" s="240"/>
      <c r="U1216" s="66"/>
    </row>
    <row r="1217" spans="2:21" x14ac:dyDescent="0.25">
      <c r="B1217" s="66"/>
      <c r="C1217" s="235"/>
      <c r="D1217" s="236"/>
      <c r="E1217" s="237"/>
      <c r="F1217" s="238"/>
      <c r="G1217" s="235"/>
      <c r="H1217" s="235"/>
      <c r="I1217" s="205"/>
      <c r="J1217" s="205"/>
      <c r="K1217" s="205"/>
      <c r="L1217" s="205"/>
      <c r="M1217" s="239"/>
      <c r="N1217" s="235"/>
      <c r="O1217" s="240"/>
      <c r="P1217" s="238"/>
      <c r="Q1217" s="240"/>
      <c r="R1217" s="241"/>
      <c r="S1217" s="240"/>
      <c r="T1217" s="240"/>
      <c r="U1217" s="66"/>
    </row>
    <row r="1218" spans="2:21" x14ac:dyDescent="0.25">
      <c r="B1218" s="66"/>
      <c r="C1218" s="235"/>
      <c r="D1218" s="236"/>
      <c r="E1218" s="237"/>
      <c r="F1218" s="238"/>
      <c r="G1218" s="235"/>
      <c r="H1218" s="235"/>
      <c r="I1218" s="205"/>
      <c r="J1218" s="205"/>
      <c r="K1218" s="205"/>
      <c r="L1218" s="205"/>
      <c r="M1218" s="239"/>
      <c r="N1218" s="235"/>
      <c r="O1218" s="240"/>
      <c r="P1218" s="238"/>
      <c r="Q1218" s="240"/>
      <c r="R1218" s="241"/>
      <c r="S1218" s="240"/>
      <c r="T1218" s="240"/>
      <c r="U1218" s="66"/>
    </row>
    <row r="1219" spans="2:21" x14ac:dyDescent="0.25">
      <c r="B1219" s="66"/>
      <c r="C1219" s="235"/>
      <c r="D1219" s="236"/>
      <c r="E1219" s="237"/>
      <c r="F1219" s="238"/>
      <c r="G1219" s="235"/>
      <c r="H1219" s="235"/>
      <c r="I1219" s="205"/>
      <c r="J1219" s="205"/>
      <c r="K1219" s="205"/>
      <c r="L1219" s="205"/>
      <c r="M1219" s="239"/>
      <c r="N1219" s="235"/>
      <c r="O1219" s="240"/>
      <c r="P1219" s="238"/>
      <c r="Q1219" s="240"/>
      <c r="R1219" s="241"/>
      <c r="S1219" s="240"/>
      <c r="T1219" s="240"/>
      <c r="U1219" s="66"/>
    </row>
    <row r="1220" spans="2:21" x14ac:dyDescent="0.25">
      <c r="B1220" s="66"/>
      <c r="C1220" s="235"/>
      <c r="D1220" s="236"/>
      <c r="E1220" s="237"/>
      <c r="F1220" s="238"/>
      <c r="G1220" s="235"/>
      <c r="H1220" s="235"/>
      <c r="I1220" s="205"/>
      <c r="J1220" s="205"/>
      <c r="K1220" s="205"/>
      <c r="L1220" s="205"/>
      <c r="M1220" s="239"/>
      <c r="N1220" s="235"/>
      <c r="O1220" s="240"/>
      <c r="P1220" s="238"/>
      <c r="Q1220" s="240"/>
      <c r="R1220" s="241"/>
      <c r="S1220" s="240"/>
      <c r="T1220" s="240"/>
      <c r="U1220" s="66"/>
    </row>
    <row r="1221" spans="2:21" x14ac:dyDescent="0.25">
      <c r="B1221" s="66"/>
      <c r="C1221" s="235"/>
      <c r="D1221" s="236"/>
      <c r="E1221" s="237"/>
      <c r="F1221" s="238"/>
      <c r="G1221" s="235"/>
      <c r="H1221" s="235"/>
      <c r="I1221" s="205"/>
      <c r="J1221" s="205"/>
      <c r="K1221" s="205"/>
      <c r="L1221" s="205"/>
      <c r="M1221" s="239"/>
      <c r="N1221" s="235"/>
      <c r="O1221" s="240"/>
      <c r="P1221" s="238"/>
      <c r="Q1221" s="240"/>
      <c r="R1221" s="241"/>
      <c r="S1221" s="240"/>
      <c r="T1221" s="240"/>
      <c r="U1221" s="66"/>
    </row>
    <row r="1222" spans="2:21" x14ac:dyDescent="0.25">
      <c r="B1222" s="66"/>
      <c r="C1222" s="235"/>
      <c r="D1222" s="236"/>
      <c r="E1222" s="237"/>
      <c r="F1222" s="238"/>
      <c r="G1222" s="235"/>
      <c r="H1222" s="235"/>
      <c r="I1222" s="205"/>
      <c r="J1222" s="205"/>
      <c r="K1222" s="205"/>
      <c r="L1222" s="205"/>
      <c r="M1222" s="239"/>
      <c r="N1222" s="235"/>
      <c r="O1222" s="240"/>
      <c r="P1222" s="238"/>
      <c r="Q1222" s="240"/>
      <c r="R1222" s="241"/>
      <c r="S1222" s="240"/>
      <c r="T1222" s="240"/>
      <c r="U1222" s="66"/>
    </row>
    <row r="1223" spans="2:21" x14ac:dyDescent="0.25">
      <c r="B1223" s="66"/>
      <c r="C1223" s="235"/>
      <c r="D1223" s="236"/>
      <c r="E1223" s="237"/>
      <c r="F1223" s="238"/>
      <c r="G1223" s="235"/>
      <c r="H1223" s="235"/>
      <c r="I1223" s="205"/>
      <c r="J1223" s="205"/>
      <c r="K1223" s="205"/>
      <c r="L1223" s="205"/>
      <c r="M1223" s="239"/>
      <c r="N1223" s="235"/>
      <c r="O1223" s="240"/>
      <c r="P1223" s="238"/>
      <c r="Q1223" s="240"/>
      <c r="R1223" s="241"/>
      <c r="S1223" s="240"/>
      <c r="T1223" s="240"/>
      <c r="U1223" s="66"/>
    </row>
    <row r="1224" spans="2:21" x14ac:dyDescent="0.25">
      <c r="B1224" s="66"/>
      <c r="C1224" s="235"/>
      <c r="D1224" s="236"/>
      <c r="E1224" s="237"/>
      <c r="F1224" s="238"/>
      <c r="G1224" s="235"/>
      <c r="H1224" s="235"/>
      <c r="I1224" s="205"/>
      <c r="J1224" s="205"/>
      <c r="K1224" s="205"/>
      <c r="L1224" s="205"/>
      <c r="M1224" s="239"/>
      <c r="N1224" s="235"/>
      <c r="O1224" s="240"/>
      <c r="P1224" s="238"/>
      <c r="Q1224" s="240"/>
      <c r="R1224" s="241"/>
      <c r="S1224" s="240"/>
      <c r="T1224" s="240"/>
      <c r="U1224" s="66"/>
    </row>
    <row r="1225" spans="2:21" x14ac:dyDescent="0.25">
      <c r="B1225" s="66"/>
      <c r="C1225" s="235"/>
      <c r="D1225" s="236"/>
      <c r="E1225" s="237"/>
      <c r="F1225" s="238"/>
      <c r="G1225" s="235"/>
      <c r="H1225" s="235"/>
      <c r="I1225" s="205"/>
      <c r="J1225" s="205"/>
      <c r="K1225" s="205"/>
      <c r="L1225" s="205"/>
      <c r="M1225" s="239"/>
      <c r="N1225" s="235"/>
      <c r="O1225" s="240"/>
      <c r="P1225" s="238"/>
      <c r="Q1225" s="240"/>
      <c r="R1225" s="241"/>
      <c r="S1225" s="240"/>
      <c r="T1225" s="240"/>
      <c r="U1225" s="66"/>
    </row>
    <row r="1226" spans="2:21" x14ac:dyDescent="0.25">
      <c r="B1226" s="66"/>
      <c r="C1226" s="235"/>
      <c r="D1226" s="236"/>
      <c r="E1226" s="237"/>
      <c r="F1226" s="238"/>
      <c r="G1226" s="235"/>
      <c r="H1226" s="235"/>
      <c r="I1226" s="205"/>
      <c r="J1226" s="205"/>
      <c r="K1226" s="205"/>
      <c r="L1226" s="205"/>
      <c r="M1226" s="239"/>
      <c r="N1226" s="235"/>
      <c r="O1226" s="240"/>
      <c r="P1226" s="238"/>
      <c r="Q1226" s="240"/>
      <c r="R1226" s="241"/>
      <c r="S1226" s="240"/>
      <c r="T1226" s="240"/>
      <c r="U1226" s="66"/>
    </row>
    <row r="1227" spans="2:21" x14ac:dyDescent="0.25">
      <c r="B1227" s="66"/>
      <c r="C1227" s="235"/>
      <c r="D1227" s="236"/>
      <c r="E1227" s="237"/>
      <c r="F1227" s="238"/>
      <c r="G1227" s="235"/>
      <c r="H1227" s="235"/>
      <c r="I1227" s="205"/>
      <c r="J1227" s="205"/>
      <c r="K1227" s="205"/>
      <c r="L1227" s="205"/>
      <c r="M1227" s="239"/>
      <c r="N1227" s="235"/>
      <c r="O1227" s="240"/>
      <c r="P1227" s="238"/>
      <c r="Q1227" s="240"/>
      <c r="R1227" s="241"/>
      <c r="S1227" s="240"/>
      <c r="T1227" s="240"/>
      <c r="U1227" s="66"/>
    </row>
    <row r="1228" spans="2:21" x14ac:dyDescent="0.25">
      <c r="B1228" s="66"/>
      <c r="C1228" s="235"/>
      <c r="D1228" s="236"/>
      <c r="E1228" s="237"/>
      <c r="F1228" s="238"/>
      <c r="G1228" s="235"/>
      <c r="H1228" s="235"/>
      <c r="I1228" s="205"/>
      <c r="J1228" s="205"/>
      <c r="K1228" s="205"/>
      <c r="L1228" s="205"/>
      <c r="M1228" s="239"/>
      <c r="N1228" s="235"/>
      <c r="O1228" s="240"/>
      <c r="P1228" s="238"/>
      <c r="Q1228" s="240"/>
      <c r="R1228" s="241"/>
      <c r="S1228" s="240"/>
      <c r="T1228" s="240"/>
      <c r="U1228" s="66"/>
    </row>
    <row r="1229" spans="2:21" x14ac:dyDescent="0.25">
      <c r="B1229" s="66"/>
      <c r="C1229" s="235"/>
      <c r="D1229" s="236"/>
      <c r="E1229" s="237"/>
      <c r="F1229" s="238"/>
      <c r="G1229" s="235"/>
      <c r="H1229" s="235"/>
      <c r="I1229" s="205"/>
      <c r="J1229" s="205"/>
      <c r="K1229" s="205"/>
      <c r="L1229" s="205"/>
      <c r="M1229" s="239"/>
      <c r="N1229" s="235"/>
      <c r="O1229" s="240"/>
      <c r="P1229" s="238"/>
      <c r="Q1229" s="240"/>
      <c r="R1229" s="241"/>
      <c r="S1229" s="240"/>
      <c r="T1229" s="240"/>
      <c r="U1229" s="66"/>
    </row>
    <row r="1230" spans="2:21" x14ac:dyDescent="0.25">
      <c r="B1230" s="66"/>
      <c r="C1230" s="235"/>
      <c r="D1230" s="236"/>
      <c r="E1230" s="237"/>
      <c r="F1230" s="238"/>
      <c r="G1230" s="235"/>
      <c r="H1230" s="235"/>
      <c r="I1230" s="205"/>
      <c r="J1230" s="205"/>
      <c r="K1230" s="205"/>
      <c r="L1230" s="205"/>
      <c r="M1230" s="239"/>
      <c r="N1230" s="235"/>
      <c r="O1230" s="240"/>
      <c r="P1230" s="238"/>
      <c r="Q1230" s="240"/>
      <c r="R1230" s="241"/>
      <c r="S1230" s="240"/>
      <c r="T1230" s="240"/>
      <c r="U1230" s="66"/>
    </row>
    <row r="1231" spans="2:21" x14ac:dyDescent="0.25">
      <c r="B1231" s="66"/>
      <c r="C1231" s="235"/>
      <c r="D1231" s="236"/>
      <c r="E1231" s="237"/>
      <c r="F1231" s="238"/>
      <c r="G1231" s="235"/>
      <c r="H1231" s="235"/>
      <c r="I1231" s="205"/>
      <c r="J1231" s="205"/>
      <c r="K1231" s="205"/>
      <c r="L1231" s="205"/>
      <c r="M1231" s="239"/>
      <c r="N1231" s="235"/>
      <c r="O1231" s="240"/>
      <c r="P1231" s="238"/>
      <c r="Q1231" s="240"/>
      <c r="R1231" s="241"/>
      <c r="S1231" s="240"/>
      <c r="T1231" s="240"/>
      <c r="U1231" s="66"/>
    </row>
    <row r="1232" spans="2:21" x14ac:dyDescent="0.25">
      <c r="B1232" s="66"/>
      <c r="C1232" s="235"/>
      <c r="D1232" s="236"/>
      <c r="E1232" s="237"/>
      <c r="F1232" s="238"/>
      <c r="G1232" s="235"/>
      <c r="H1232" s="235"/>
      <c r="I1232" s="205"/>
      <c r="J1232" s="205"/>
      <c r="K1232" s="205"/>
      <c r="L1232" s="205"/>
      <c r="M1232" s="239"/>
      <c r="N1232" s="235"/>
      <c r="O1232" s="240"/>
      <c r="P1232" s="238"/>
      <c r="Q1232" s="240"/>
      <c r="R1232" s="241"/>
      <c r="S1232" s="240"/>
      <c r="T1232" s="240"/>
      <c r="U1232" s="66"/>
    </row>
    <row r="1233" spans="2:21" x14ac:dyDescent="0.25">
      <c r="B1233" s="66"/>
      <c r="C1233" s="235"/>
      <c r="D1233" s="236"/>
      <c r="E1233" s="237"/>
      <c r="F1233" s="238"/>
      <c r="G1233" s="235"/>
      <c r="H1233" s="235"/>
      <c r="I1233" s="205"/>
      <c r="J1233" s="205"/>
      <c r="K1233" s="205"/>
      <c r="L1233" s="205"/>
      <c r="M1233" s="239"/>
      <c r="N1233" s="235"/>
      <c r="O1233" s="240"/>
      <c r="P1233" s="238"/>
      <c r="Q1233" s="240"/>
      <c r="R1233" s="241"/>
      <c r="S1233" s="240"/>
      <c r="T1233" s="240"/>
      <c r="U1233" s="66"/>
    </row>
    <row r="1234" spans="2:21" x14ac:dyDescent="0.25">
      <c r="B1234" s="66"/>
      <c r="C1234" s="235"/>
      <c r="D1234" s="236"/>
      <c r="E1234" s="237"/>
      <c r="F1234" s="238"/>
      <c r="G1234" s="235"/>
      <c r="H1234" s="235"/>
      <c r="I1234" s="205"/>
      <c r="J1234" s="205"/>
      <c r="K1234" s="205"/>
      <c r="L1234" s="205"/>
      <c r="M1234" s="239"/>
      <c r="N1234" s="235"/>
      <c r="O1234" s="240"/>
      <c r="P1234" s="238"/>
      <c r="Q1234" s="240"/>
      <c r="R1234" s="241"/>
      <c r="S1234" s="240"/>
      <c r="T1234" s="240"/>
      <c r="U1234" s="66"/>
    </row>
    <row r="1235" spans="2:21" x14ac:dyDescent="0.25">
      <c r="B1235" s="66"/>
      <c r="C1235" s="235"/>
      <c r="D1235" s="236"/>
      <c r="E1235" s="237"/>
      <c r="F1235" s="238"/>
      <c r="G1235" s="235"/>
      <c r="H1235" s="235"/>
      <c r="I1235" s="205"/>
      <c r="J1235" s="205"/>
      <c r="K1235" s="205"/>
      <c r="L1235" s="205"/>
      <c r="M1235" s="239"/>
      <c r="N1235" s="235"/>
      <c r="O1235" s="240"/>
      <c r="P1235" s="238"/>
      <c r="Q1235" s="240"/>
      <c r="R1235" s="241"/>
      <c r="S1235" s="240"/>
      <c r="T1235" s="240"/>
      <c r="U1235" s="66"/>
    </row>
    <row r="1236" spans="2:21" x14ac:dyDescent="0.25">
      <c r="B1236" s="66"/>
      <c r="C1236" s="235"/>
      <c r="D1236" s="236"/>
      <c r="E1236" s="237"/>
      <c r="F1236" s="238"/>
      <c r="G1236" s="235"/>
      <c r="H1236" s="235"/>
      <c r="I1236" s="205"/>
      <c r="J1236" s="205"/>
      <c r="K1236" s="205"/>
      <c r="L1236" s="205"/>
      <c r="M1236" s="239"/>
      <c r="N1236" s="235"/>
      <c r="O1236" s="240"/>
      <c r="P1236" s="238"/>
      <c r="Q1236" s="240"/>
      <c r="R1236" s="241"/>
      <c r="S1236" s="240"/>
      <c r="T1236" s="240"/>
      <c r="U1236" s="66"/>
    </row>
    <row r="1237" spans="2:21" x14ac:dyDescent="0.25">
      <c r="B1237" s="66"/>
      <c r="C1237" s="235"/>
      <c r="D1237" s="236"/>
      <c r="E1237" s="237"/>
      <c r="F1237" s="238"/>
      <c r="G1237" s="235"/>
      <c r="H1237" s="235"/>
      <c r="I1237" s="205"/>
      <c r="J1237" s="205"/>
      <c r="K1237" s="205"/>
      <c r="L1237" s="205"/>
      <c r="M1237" s="239"/>
      <c r="N1237" s="235"/>
      <c r="O1237" s="240"/>
      <c r="P1237" s="238"/>
      <c r="Q1237" s="240"/>
      <c r="R1237" s="241"/>
      <c r="S1237" s="240"/>
      <c r="T1237" s="240"/>
      <c r="U1237" s="66"/>
    </row>
    <row r="1238" spans="2:21" x14ac:dyDescent="0.25">
      <c r="B1238" s="66"/>
      <c r="C1238" s="235"/>
      <c r="D1238" s="236"/>
      <c r="E1238" s="237"/>
      <c r="F1238" s="238"/>
      <c r="G1238" s="235"/>
      <c r="H1238" s="235"/>
      <c r="I1238" s="205"/>
      <c r="J1238" s="205"/>
      <c r="K1238" s="205"/>
      <c r="L1238" s="205"/>
      <c r="M1238" s="239"/>
      <c r="N1238" s="235"/>
      <c r="O1238" s="240"/>
      <c r="P1238" s="238"/>
      <c r="Q1238" s="240"/>
      <c r="R1238" s="241"/>
      <c r="S1238" s="240"/>
      <c r="T1238" s="240"/>
      <c r="U1238" s="66"/>
    </row>
    <row r="1239" spans="2:21" x14ac:dyDescent="0.25">
      <c r="B1239" s="66"/>
      <c r="C1239" s="235"/>
      <c r="D1239" s="236"/>
      <c r="E1239" s="237"/>
      <c r="F1239" s="238"/>
      <c r="G1239" s="235"/>
      <c r="H1239" s="235"/>
      <c r="I1239" s="205"/>
      <c r="J1239" s="205"/>
      <c r="K1239" s="205"/>
      <c r="L1239" s="205"/>
      <c r="M1239" s="239"/>
      <c r="N1239" s="235"/>
      <c r="O1239" s="240"/>
      <c r="P1239" s="238"/>
      <c r="Q1239" s="240"/>
      <c r="R1239" s="241"/>
      <c r="S1239" s="240"/>
      <c r="T1239" s="240"/>
      <c r="U1239" s="66"/>
    </row>
    <row r="1240" spans="2:21" x14ac:dyDescent="0.25">
      <c r="B1240" s="66"/>
      <c r="C1240" s="235"/>
      <c r="D1240" s="236"/>
      <c r="E1240" s="237"/>
      <c r="F1240" s="238"/>
      <c r="G1240" s="235"/>
      <c r="H1240" s="235"/>
      <c r="I1240" s="205"/>
      <c r="J1240" s="205"/>
      <c r="K1240" s="205"/>
      <c r="L1240" s="205"/>
      <c r="M1240" s="239"/>
      <c r="N1240" s="235"/>
      <c r="O1240" s="240"/>
      <c r="P1240" s="238"/>
      <c r="Q1240" s="240"/>
      <c r="R1240" s="241"/>
      <c r="S1240" s="240"/>
      <c r="T1240" s="240"/>
      <c r="U1240" s="66"/>
    </row>
    <row r="1241" spans="2:21" x14ac:dyDescent="0.25">
      <c r="B1241" s="66"/>
      <c r="C1241" s="235"/>
      <c r="D1241" s="236"/>
      <c r="E1241" s="237"/>
      <c r="F1241" s="238"/>
      <c r="G1241" s="235"/>
      <c r="H1241" s="235"/>
      <c r="I1241" s="205"/>
      <c r="J1241" s="205"/>
      <c r="K1241" s="205"/>
      <c r="L1241" s="205"/>
      <c r="M1241" s="239"/>
      <c r="N1241" s="235"/>
      <c r="O1241" s="240"/>
      <c r="P1241" s="238"/>
      <c r="Q1241" s="240"/>
      <c r="R1241" s="241"/>
      <c r="S1241" s="240"/>
      <c r="T1241" s="240"/>
      <c r="U1241" s="66"/>
    </row>
    <row r="1242" spans="2:21" x14ac:dyDescent="0.25">
      <c r="B1242" s="66"/>
      <c r="C1242" s="235"/>
      <c r="D1242" s="236"/>
      <c r="E1242" s="237"/>
      <c r="F1242" s="238"/>
      <c r="G1242" s="235"/>
      <c r="H1242" s="235"/>
      <c r="I1242" s="205"/>
      <c r="J1242" s="205"/>
      <c r="K1242" s="205"/>
      <c r="L1242" s="205"/>
      <c r="M1242" s="239"/>
      <c r="N1242" s="235"/>
      <c r="O1242" s="240"/>
      <c r="P1242" s="238"/>
      <c r="Q1242" s="240"/>
      <c r="R1242" s="241"/>
      <c r="S1242" s="240"/>
      <c r="T1242" s="240"/>
      <c r="U1242" s="66"/>
    </row>
    <row r="1243" spans="2:21" x14ac:dyDescent="0.25">
      <c r="B1243" s="66"/>
      <c r="C1243" s="235"/>
      <c r="D1243" s="236"/>
      <c r="E1243" s="237"/>
      <c r="F1243" s="238"/>
      <c r="G1243" s="235"/>
      <c r="H1243" s="235"/>
      <c r="I1243" s="205"/>
      <c r="J1243" s="205"/>
      <c r="K1243" s="205"/>
      <c r="L1243" s="205"/>
      <c r="M1243" s="239"/>
      <c r="N1243" s="235"/>
      <c r="O1243" s="240"/>
      <c r="P1243" s="238"/>
      <c r="Q1243" s="240"/>
      <c r="R1243" s="241"/>
      <c r="S1243" s="240"/>
      <c r="T1243" s="240"/>
      <c r="U1243" s="66"/>
    </row>
    <row r="1244" spans="2:21" x14ac:dyDescent="0.25">
      <c r="B1244" s="66"/>
      <c r="C1244" s="235"/>
      <c r="D1244" s="236"/>
      <c r="E1244" s="237"/>
      <c r="F1244" s="238"/>
      <c r="G1244" s="235"/>
      <c r="H1244" s="235"/>
      <c r="I1244" s="205"/>
      <c r="J1244" s="205"/>
      <c r="K1244" s="205"/>
      <c r="L1244" s="205"/>
      <c r="M1244" s="239"/>
      <c r="N1244" s="235"/>
      <c r="O1244" s="240"/>
      <c r="P1244" s="238"/>
      <c r="Q1244" s="240"/>
      <c r="R1244" s="241"/>
      <c r="S1244" s="240"/>
      <c r="T1244" s="240"/>
      <c r="U1244" s="66"/>
    </row>
    <row r="1245" spans="2:21" x14ac:dyDescent="0.25">
      <c r="B1245" s="66"/>
      <c r="C1245" s="235"/>
      <c r="D1245" s="236"/>
      <c r="E1245" s="237"/>
      <c r="F1245" s="238"/>
      <c r="G1245" s="235"/>
      <c r="H1245" s="235"/>
      <c r="I1245" s="205"/>
      <c r="J1245" s="205"/>
      <c r="K1245" s="205"/>
      <c r="L1245" s="205"/>
      <c r="M1245" s="239"/>
      <c r="N1245" s="235"/>
      <c r="O1245" s="240"/>
      <c r="P1245" s="238"/>
      <c r="Q1245" s="240"/>
      <c r="R1245" s="241"/>
      <c r="S1245" s="240"/>
      <c r="T1245" s="240"/>
      <c r="U1245" s="66"/>
    </row>
    <row r="1246" spans="2:21" x14ac:dyDescent="0.25">
      <c r="B1246" s="66"/>
      <c r="C1246" s="235"/>
      <c r="D1246" s="236"/>
      <c r="E1246" s="237"/>
      <c r="F1246" s="238"/>
      <c r="G1246" s="235"/>
      <c r="H1246" s="235"/>
      <c r="I1246" s="205"/>
      <c r="J1246" s="205"/>
      <c r="K1246" s="205"/>
      <c r="L1246" s="205"/>
      <c r="M1246" s="239"/>
      <c r="N1246" s="235"/>
      <c r="O1246" s="240"/>
      <c r="P1246" s="238"/>
      <c r="Q1246" s="240"/>
      <c r="R1246" s="241"/>
      <c r="S1246" s="240"/>
      <c r="T1246" s="240"/>
      <c r="U1246" s="66"/>
    </row>
    <row r="1247" spans="2:21" x14ac:dyDescent="0.25">
      <c r="B1247" s="66"/>
      <c r="C1247" s="235"/>
      <c r="D1247" s="236"/>
      <c r="E1247" s="237"/>
      <c r="F1247" s="238"/>
      <c r="G1247" s="235"/>
      <c r="H1247" s="235"/>
      <c r="I1247" s="205"/>
      <c r="J1247" s="205"/>
      <c r="K1247" s="205"/>
      <c r="L1247" s="205"/>
      <c r="M1247" s="239"/>
      <c r="N1247" s="235"/>
      <c r="O1247" s="240"/>
      <c r="P1247" s="238"/>
      <c r="Q1247" s="240"/>
      <c r="R1247" s="241"/>
      <c r="S1247" s="240"/>
      <c r="T1247" s="240"/>
      <c r="U1247" s="66"/>
    </row>
    <row r="1248" spans="2:21" x14ac:dyDescent="0.25">
      <c r="B1248" s="66"/>
      <c r="C1248" s="235"/>
      <c r="D1248" s="236"/>
      <c r="E1248" s="237"/>
      <c r="F1248" s="238"/>
      <c r="G1248" s="235"/>
      <c r="H1248" s="235"/>
      <c r="I1248" s="205"/>
      <c r="J1248" s="205"/>
      <c r="K1248" s="205"/>
      <c r="L1248" s="205"/>
      <c r="M1248" s="239"/>
      <c r="N1248" s="235"/>
      <c r="O1248" s="240"/>
      <c r="P1248" s="238"/>
      <c r="Q1248" s="240"/>
      <c r="R1248" s="241"/>
      <c r="S1248" s="240"/>
      <c r="T1248" s="240"/>
      <c r="U1248" s="66"/>
    </row>
    <row r="1249" spans="2:21" x14ac:dyDescent="0.25">
      <c r="B1249" s="66"/>
      <c r="C1249" s="235"/>
      <c r="D1249" s="236"/>
      <c r="E1249" s="237"/>
      <c r="F1249" s="238"/>
      <c r="G1249" s="235"/>
      <c r="H1249" s="235"/>
      <c r="I1249" s="205"/>
      <c r="J1249" s="205"/>
      <c r="K1249" s="205"/>
      <c r="L1249" s="205"/>
      <c r="M1249" s="239"/>
      <c r="N1249" s="235"/>
      <c r="O1249" s="240"/>
      <c r="P1249" s="238"/>
      <c r="Q1249" s="240"/>
      <c r="R1249" s="241"/>
      <c r="S1249" s="240"/>
      <c r="T1249" s="240"/>
      <c r="U1249" s="66"/>
    </row>
    <row r="1250" spans="2:21" x14ac:dyDescent="0.25">
      <c r="B1250" s="66"/>
      <c r="C1250" s="235"/>
      <c r="D1250" s="236"/>
      <c r="E1250" s="237"/>
      <c r="F1250" s="238"/>
      <c r="G1250" s="235"/>
      <c r="H1250" s="235"/>
      <c r="I1250" s="205"/>
      <c r="J1250" s="205"/>
      <c r="K1250" s="205"/>
      <c r="L1250" s="205"/>
      <c r="M1250" s="239"/>
      <c r="N1250" s="235"/>
      <c r="O1250" s="240"/>
      <c r="P1250" s="238"/>
      <c r="Q1250" s="240"/>
      <c r="R1250" s="241"/>
      <c r="S1250" s="240"/>
      <c r="T1250" s="240"/>
      <c r="U1250" s="66"/>
    </row>
    <row r="1251" spans="2:21" x14ac:dyDescent="0.25">
      <c r="B1251" s="66"/>
      <c r="C1251" s="235"/>
      <c r="D1251" s="236"/>
      <c r="E1251" s="237"/>
      <c r="F1251" s="238"/>
      <c r="G1251" s="235"/>
      <c r="H1251" s="235"/>
      <c r="I1251" s="205"/>
      <c r="J1251" s="205"/>
      <c r="K1251" s="205"/>
      <c r="L1251" s="205"/>
      <c r="M1251" s="239"/>
      <c r="N1251" s="235"/>
      <c r="O1251" s="240"/>
      <c r="P1251" s="238"/>
      <c r="Q1251" s="240"/>
      <c r="R1251" s="241"/>
      <c r="S1251" s="240"/>
      <c r="T1251" s="240"/>
      <c r="U1251" s="66"/>
    </row>
    <row r="1252" spans="2:21" x14ac:dyDescent="0.25">
      <c r="B1252" s="66"/>
      <c r="C1252" s="235"/>
      <c r="D1252" s="236"/>
      <c r="E1252" s="237"/>
      <c r="F1252" s="238"/>
      <c r="G1252" s="235"/>
      <c r="H1252" s="235"/>
      <c r="I1252" s="205"/>
      <c r="J1252" s="205"/>
      <c r="K1252" s="205"/>
      <c r="L1252" s="205"/>
      <c r="M1252" s="239"/>
      <c r="N1252" s="235"/>
      <c r="O1252" s="240"/>
      <c r="P1252" s="238"/>
      <c r="Q1252" s="240"/>
      <c r="R1252" s="241"/>
      <c r="S1252" s="240"/>
      <c r="T1252" s="240"/>
      <c r="U1252" s="66"/>
    </row>
    <row r="1253" spans="2:21" x14ac:dyDescent="0.25">
      <c r="B1253" s="66"/>
      <c r="C1253" s="235"/>
      <c r="D1253" s="236"/>
      <c r="E1253" s="237"/>
      <c r="F1253" s="238"/>
      <c r="G1253" s="235"/>
      <c r="H1253" s="235"/>
      <c r="I1253" s="205"/>
      <c r="J1253" s="205"/>
      <c r="K1253" s="205"/>
      <c r="L1253" s="205"/>
      <c r="M1253" s="239"/>
      <c r="N1253" s="235"/>
      <c r="O1253" s="240"/>
      <c r="P1253" s="238"/>
      <c r="Q1253" s="240"/>
      <c r="R1253" s="241"/>
      <c r="S1253" s="240"/>
      <c r="T1253" s="240"/>
      <c r="U1253" s="66"/>
    </row>
    <row r="1254" spans="2:21" x14ac:dyDescent="0.25">
      <c r="B1254" s="66"/>
      <c r="C1254" s="235"/>
      <c r="D1254" s="236"/>
      <c r="E1254" s="237"/>
      <c r="F1254" s="238"/>
      <c r="G1254" s="235"/>
      <c r="H1254" s="235"/>
      <c r="I1254" s="205"/>
      <c r="J1254" s="205"/>
      <c r="K1254" s="205"/>
      <c r="L1254" s="205"/>
      <c r="M1254" s="239"/>
      <c r="N1254" s="235"/>
      <c r="O1254" s="240"/>
      <c r="P1254" s="238"/>
      <c r="Q1254" s="240"/>
      <c r="R1254" s="241"/>
      <c r="S1254" s="240"/>
      <c r="T1254" s="240"/>
      <c r="U1254" s="66"/>
    </row>
    <row r="1255" spans="2:21" x14ac:dyDescent="0.25">
      <c r="B1255" s="66"/>
      <c r="C1255" s="235"/>
      <c r="D1255" s="236"/>
      <c r="E1255" s="237"/>
      <c r="F1255" s="238"/>
      <c r="G1255" s="235"/>
      <c r="H1255" s="235"/>
      <c r="I1255" s="205"/>
      <c r="J1255" s="205"/>
      <c r="K1255" s="205"/>
      <c r="L1255" s="205"/>
      <c r="M1255" s="239"/>
      <c r="N1255" s="235"/>
      <c r="O1255" s="240"/>
      <c r="P1255" s="238"/>
      <c r="Q1255" s="240"/>
      <c r="R1255" s="241"/>
      <c r="S1255" s="240"/>
      <c r="T1255" s="240"/>
      <c r="U1255" s="66"/>
    </row>
    <row r="1256" spans="2:21" x14ac:dyDescent="0.25">
      <c r="B1256" s="66"/>
      <c r="C1256" s="235"/>
      <c r="D1256" s="236"/>
      <c r="E1256" s="237"/>
      <c r="F1256" s="238"/>
      <c r="G1256" s="235"/>
      <c r="H1256" s="235"/>
      <c r="I1256" s="205"/>
      <c r="J1256" s="205"/>
      <c r="K1256" s="205"/>
      <c r="L1256" s="205"/>
      <c r="M1256" s="239"/>
      <c r="N1256" s="235"/>
      <c r="O1256" s="240"/>
      <c r="P1256" s="238"/>
      <c r="Q1256" s="240"/>
      <c r="R1256" s="241"/>
      <c r="S1256" s="240"/>
      <c r="T1256" s="240"/>
      <c r="U1256" s="66"/>
    </row>
    <row r="1257" spans="2:21" x14ac:dyDescent="0.25">
      <c r="B1257" s="66"/>
      <c r="C1257" s="235"/>
      <c r="D1257" s="236"/>
      <c r="E1257" s="237"/>
      <c r="F1257" s="238"/>
      <c r="G1257" s="235"/>
      <c r="H1257" s="235"/>
      <c r="I1257" s="205"/>
      <c r="J1257" s="205"/>
      <c r="K1257" s="205"/>
      <c r="L1257" s="205"/>
      <c r="M1257" s="239"/>
      <c r="N1257" s="235"/>
      <c r="O1257" s="240"/>
      <c r="P1257" s="238"/>
      <c r="Q1257" s="240"/>
      <c r="R1257" s="241"/>
      <c r="S1257" s="240"/>
      <c r="T1257" s="240"/>
      <c r="U1257" s="66"/>
    </row>
    <row r="1258" spans="2:21" x14ac:dyDescent="0.25">
      <c r="B1258" s="66"/>
      <c r="C1258" s="235"/>
      <c r="D1258" s="236"/>
      <c r="E1258" s="237"/>
      <c r="F1258" s="238"/>
      <c r="G1258" s="235"/>
      <c r="H1258" s="235"/>
      <c r="I1258" s="205"/>
      <c r="J1258" s="205"/>
      <c r="K1258" s="205"/>
      <c r="L1258" s="205"/>
      <c r="M1258" s="239"/>
      <c r="N1258" s="235"/>
      <c r="O1258" s="240"/>
      <c r="P1258" s="238"/>
      <c r="Q1258" s="240"/>
      <c r="R1258" s="241"/>
      <c r="S1258" s="240"/>
      <c r="T1258" s="240"/>
      <c r="U1258" s="66"/>
    </row>
    <row r="1259" spans="2:21" x14ac:dyDescent="0.25">
      <c r="B1259" s="66"/>
      <c r="C1259" s="235"/>
      <c r="D1259" s="236"/>
      <c r="E1259" s="237"/>
      <c r="F1259" s="238"/>
      <c r="G1259" s="235"/>
      <c r="H1259" s="235"/>
      <c r="I1259" s="205"/>
      <c r="J1259" s="205"/>
      <c r="K1259" s="205"/>
      <c r="L1259" s="205"/>
      <c r="M1259" s="239"/>
      <c r="N1259" s="235"/>
      <c r="O1259" s="240"/>
      <c r="P1259" s="238"/>
      <c r="Q1259" s="240"/>
      <c r="R1259" s="241"/>
      <c r="S1259" s="240"/>
      <c r="T1259" s="240"/>
      <c r="U1259" s="66"/>
    </row>
    <row r="1260" spans="2:21" x14ac:dyDescent="0.25">
      <c r="B1260" s="66"/>
      <c r="C1260" s="235"/>
      <c r="D1260" s="236"/>
      <c r="E1260" s="237"/>
      <c r="F1260" s="238"/>
      <c r="G1260" s="235"/>
      <c r="H1260" s="235"/>
      <c r="I1260" s="205"/>
      <c r="J1260" s="205"/>
      <c r="K1260" s="205"/>
      <c r="L1260" s="205"/>
      <c r="M1260" s="239"/>
      <c r="N1260" s="235"/>
      <c r="O1260" s="240"/>
      <c r="P1260" s="238"/>
      <c r="Q1260" s="240"/>
      <c r="R1260" s="241"/>
      <c r="S1260" s="240"/>
      <c r="T1260" s="240"/>
      <c r="U1260" s="66"/>
    </row>
    <row r="1261" spans="2:21" x14ac:dyDescent="0.25">
      <c r="B1261" s="66"/>
      <c r="C1261" s="235"/>
      <c r="D1261" s="236"/>
      <c r="E1261" s="237"/>
      <c r="F1261" s="238"/>
      <c r="G1261" s="235"/>
      <c r="H1261" s="235"/>
      <c r="I1261" s="205"/>
      <c r="J1261" s="205"/>
      <c r="K1261" s="205"/>
      <c r="L1261" s="205"/>
      <c r="M1261" s="239"/>
      <c r="N1261" s="235"/>
      <c r="O1261" s="240"/>
      <c r="P1261" s="238"/>
      <c r="Q1261" s="240"/>
      <c r="R1261" s="241"/>
      <c r="S1261" s="240"/>
      <c r="T1261" s="240"/>
      <c r="U1261" s="66"/>
    </row>
    <row r="1262" spans="2:21" x14ac:dyDescent="0.25">
      <c r="B1262" s="66"/>
      <c r="C1262" s="235"/>
      <c r="D1262" s="236"/>
      <c r="E1262" s="237"/>
      <c r="F1262" s="238"/>
      <c r="G1262" s="235"/>
      <c r="H1262" s="235"/>
      <c r="I1262" s="205"/>
      <c r="J1262" s="205"/>
      <c r="K1262" s="205"/>
      <c r="L1262" s="205"/>
      <c r="M1262" s="239"/>
      <c r="N1262" s="235"/>
      <c r="O1262" s="240"/>
      <c r="P1262" s="238"/>
      <c r="Q1262" s="240"/>
      <c r="R1262" s="241"/>
      <c r="S1262" s="240"/>
      <c r="T1262" s="240"/>
      <c r="U1262" s="66"/>
    </row>
    <row r="1263" spans="2:21" x14ac:dyDescent="0.25">
      <c r="B1263" s="66"/>
      <c r="C1263" s="235"/>
      <c r="D1263" s="236"/>
      <c r="E1263" s="237"/>
      <c r="F1263" s="238"/>
      <c r="G1263" s="235"/>
      <c r="H1263" s="235"/>
      <c r="I1263" s="205"/>
      <c r="J1263" s="205"/>
      <c r="K1263" s="205"/>
      <c r="L1263" s="205"/>
      <c r="M1263" s="239"/>
      <c r="N1263" s="235"/>
      <c r="O1263" s="240"/>
      <c r="P1263" s="238"/>
      <c r="Q1263" s="240"/>
      <c r="R1263" s="241"/>
      <c r="S1263" s="240"/>
      <c r="T1263" s="240"/>
      <c r="U1263" s="66"/>
    </row>
    <row r="1264" spans="2:21" x14ac:dyDescent="0.25">
      <c r="B1264" s="66"/>
      <c r="C1264" s="235"/>
      <c r="D1264" s="236"/>
      <c r="E1264" s="237"/>
      <c r="F1264" s="238"/>
      <c r="G1264" s="235"/>
      <c r="H1264" s="235"/>
      <c r="I1264" s="205"/>
      <c r="J1264" s="205"/>
      <c r="K1264" s="205"/>
      <c r="L1264" s="205"/>
      <c r="M1264" s="239"/>
      <c r="N1264" s="235"/>
      <c r="O1264" s="240"/>
      <c r="P1264" s="238"/>
      <c r="Q1264" s="240"/>
      <c r="R1264" s="241"/>
      <c r="S1264" s="240"/>
      <c r="T1264" s="240"/>
      <c r="U1264" s="66"/>
    </row>
    <row r="1265" spans="2:21" x14ac:dyDescent="0.25">
      <c r="B1265" s="66"/>
      <c r="C1265" s="235"/>
      <c r="D1265" s="236"/>
      <c r="E1265" s="237"/>
      <c r="F1265" s="238"/>
      <c r="G1265" s="235"/>
      <c r="H1265" s="235"/>
      <c r="I1265" s="205"/>
      <c r="J1265" s="205"/>
      <c r="K1265" s="205"/>
      <c r="L1265" s="205"/>
      <c r="M1265" s="239"/>
      <c r="N1265" s="235"/>
      <c r="O1265" s="240"/>
      <c r="P1265" s="238"/>
      <c r="Q1265" s="240"/>
      <c r="R1265" s="241"/>
      <c r="S1265" s="240"/>
      <c r="T1265" s="240"/>
      <c r="U1265" s="66"/>
    </row>
    <row r="1266" spans="2:21" x14ac:dyDescent="0.25">
      <c r="B1266" s="66"/>
      <c r="C1266" s="235"/>
      <c r="D1266" s="236"/>
      <c r="E1266" s="237"/>
      <c r="F1266" s="238"/>
      <c r="G1266" s="235"/>
      <c r="H1266" s="235"/>
      <c r="I1266" s="205"/>
      <c r="J1266" s="205"/>
      <c r="K1266" s="205"/>
      <c r="L1266" s="205"/>
      <c r="M1266" s="239"/>
      <c r="N1266" s="235"/>
      <c r="O1266" s="240"/>
      <c r="P1266" s="238"/>
      <c r="Q1266" s="240"/>
      <c r="R1266" s="241"/>
      <c r="S1266" s="240"/>
      <c r="T1266" s="240"/>
      <c r="U1266" s="66"/>
    </row>
    <row r="1267" spans="2:21" x14ac:dyDescent="0.25">
      <c r="B1267" s="66"/>
      <c r="C1267" s="235"/>
      <c r="D1267" s="236"/>
      <c r="E1267" s="237"/>
      <c r="F1267" s="238"/>
      <c r="G1267" s="235"/>
      <c r="H1267" s="235"/>
      <c r="I1267" s="205"/>
      <c r="J1267" s="205"/>
      <c r="K1267" s="205"/>
      <c r="L1267" s="205"/>
      <c r="M1267" s="239"/>
      <c r="N1267" s="235"/>
      <c r="O1267" s="240"/>
      <c r="P1267" s="238"/>
      <c r="Q1267" s="240"/>
      <c r="R1267" s="241"/>
      <c r="S1267" s="240"/>
      <c r="T1267" s="240"/>
      <c r="U1267" s="66"/>
    </row>
    <row r="1268" spans="2:21" x14ac:dyDescent="0.25">
      <c r="B1268" s="66"/>
      <c r="C1268" s="235"/>
      <c r="D1268" s="236"/>
      <c r="E1268" s="237"/>
      <c r="F1268" s="238"/>
      <c r="G1268" s="235"/>
      <c r="H1268" s="235"/>
      <c r="I1268" s="205"/>
      <c r="J1268" s="205"/>
      <c r="K1268" s="205"/>
      <c r="L1268" s="205"/>
      <c r="M1268" s="239"/>
      <c r="N1268" s="235"/>
      <c r="O1268" s="240"/>
      <c r="P1268" s="238"/>
      <c r="Q1268" s="240"/>
      <c r="R1268" s="241"/>
      <c r="S1268" s="240"/>
      <c r="T1268" s="240"/>
      <c r="U1268" s="66"/>
    </row>
    <row r="1269" spans="2:21" x14ac:dyDescent="0.25">
      <c r="B1269" s="66"/>
      <c r="C1269" s="235"/>
      <c r="D1269" s="236"/>
      <c r="E1269" s="237"/>
      <c r="F1269" s="238"/>
      <c r="G1269" s="235"/>
      <c r="H1269" s="235"/>
      <c r="I1269" s="205"/>
      <c r="J1269" s="205"/>
      <c r="K1269" s="205"/>
      <c r="L1269" s="205"/>
      <c r="M1269" s="239"/>
      <c r="N1269" s="235"/>
      <c r="O1269" s="240"/>
      <c r="P1269" s="238"/>
      <c r="Q1269" s="240"/>
      <c r="R1269" s="241"/>
      <c r="S1269" s="240"/>
      <c r="T1269" s="240"/>
      <c r="U1269" s="66"/>
    </row>
    <row r="1270" spans="2:21" x14ac:dyDescent="0.25">
      <c r="B1270" s="66"/>
      <c r="C1270" s="235"/>
      <c r="D1270" s="236"/>
      <c r="E1270" s="237"/>
      <c r="F1270" s="238"/>
      <c r="G1270" s="235"/>
      <c r="H1270" s="235"/>
      <c r="I1270" s="205"/>
      <c r="J1270" s="205"/>
      <c r="K1270" s="205"/>
      <c r="L1270" s="205"/>
      <c r="M1270" s="239"/>
      <c r="N1270" s="235"/>
      <c r="O1270" s="240"/>
      <c r="P1270" s="238"/>
      <c r="Q1270" s="240"/>
      <c r="R1270" s="241"/>
      <c r="S1270" s="240"/>
      <c r="T1270" s="240"/>
      <c r="U1270" s="66"/>
    </row>
    <row r="1271" spans="2:21" x14ac:dyDescent="0.25">
      <c r="B1271" s="66"/>
      <c r="C1271" s="235"/>
      <c r="D1271" s="236"/>
      <c r="E1271" s="237"/>
      <c r="F1271" s="238"/>
      <c r="G1271" s="235"/>
      <c r="H1271" s="235"/>
      <c r="I1271" s="205"/>
      <c r="J1271" s="205"/>
      <c r="K1271" s="205"/>
      <c r="L1271" s="205"/>
      <c r="M1271" s="239"/>
      <c r="N1271" s="235"/>
      <c r="O1271" s="240"/>
      <c r="P1271" s="238"/>
      <c r="Q1271" s="240"/>
      <c r="R1271" s="241"/>
      <c r="S1271" s="240"/>
      <c r="T1271" s="240"/>
      <c r="U1271" s="66"/>
    </row>
    <row r="1272" spans="2:21" x14ac:dyDescent="0.25">
      <c r="B1272" s="66"/>
      <c r="C1272" s="235"/>
      <c r="D1272" s="236"/>
      <c r="E1272" s="237"/>
      <c r="F1272" s="238"/>
      <c r="G1272" s="235"/>
      <c r="H1272" s="235"/>
      <c r="I1272" s="205"/>
      <c r="J1272" s="205"/>
      <c r="K1272" s="205"/>
      <c r="L1272" s="205"/>
      <c r="M1272" s="239"/>
      <c r="N1272" s="235"/>
      <c r="O1272" s="240"/>
      <c r="P1272" s="238"/>
      <c r="Q1272" s="240"/>
      <c r="R1272" s="241"/>
      <c r="S1272" s="240"/>
      <c r="T1272" s="240"/>
      <c r="U1272" s="66"/>
    </row>
    <row r="1273" spans="2:21" x14ac:dyDescent="0.25">
      <c r="B1273" s="66"/>
      <c r="C1273" s="235"/>
      <c r="D1273" s="236"/>
      <c r="E1273" s="237"/>
      <c r="F1273" s="238"/>
      <c r="G1273" s="235"/>
      <c r="H1273" s="235"/>
      <c r="I1273" s="205"/>
      <c r="J1273" s="205"/>
      <c r="K1273" s="205"/>
      <c r="L1273" s="205"/>
      <c r="M1273" s="239"/>
      <c r="N1273" s="235"/>
      <c r="O1273" s="240"/>
      <c r="P1273" s="238"/>
      <c r="Q1273" s="240"/>
      <c r="R1273" s="241"/>
      <c r="S1273" s="240"/>
      <c r="T1273" s="240"/>
      <c r="U1273" s="66"/>
    </row>
    <row r="1274" spans="2:21" x14ac:dyDescent="0.25">
      <c r="B1274" s="66"/>
      <c r="C1274" s="235"/>
      <c r="D1274" s="236"/>
      <c r="E1274" s="237"/>
      <c r="F1274" s="238"/>
      <c r="G1274" s="235"/>
      <c r="H1274" s="235"/>
      <c r="I1274" s="205"/>
      <c r="J1274" s="205"/>
      <c r="K1274" s="205"/>
      <c r="L1274" s="205"/>
      <c r="M1274" s="239"/>
      <c r="N1274" s="235"/>
      <c r="O1274" s="240"/>
      <c r="P1274" s="238"/>
      <c r="Q1274" s="240"/>
      <c r="R1274" s="241"/>
      <c r="S1274" s="240"/>
      <c r="T1274" s="240"/>
      <c r="U1274" s="66"/>
    </row>
    <row r="1275" spans="2:21" x14ac:dyDescent="0.25">
      <c r="B1275" s="66"/>
      <c r="C1275" s="235"/>
      <c r="D1275" s="236"/>
      <c r="E1275" s="237"/>
      <c r="F1275" s="238"/>
      <c r="G1275" s="235"/>
      <c r="H1275" s="235"/>
      <c r="I1275" s="205"/>
      <c r="J1275" s="205"/>
      <c r="K1275" s="205"/>
      <c r="L1275" s="205"/>
      <c r="M1275" s="239"/>
      <c r="N1275" s="235"/>
      <c r="O1275" s="240"/>
      <c r="P1275" s="238"/>
      <c r="Q1275" s="240"/>
      <c r="R1275" s="241"/>
      <c r="S1275" s="240"/>
      <c r="T1275" s="240"/>
      <c r="U1275" s="66"/>
    </row>
    <row r="1276" spans="2:21" x14ac:dyDescent="0.25">
      <c r="B1276" s="66"/>
      <c r="C1276" s="235"/>
      <c r="D1276" s="236"/>
      <c r="E1276" s="237"/>
      <c r="F1276" s="238"/>
      <c r="G1276" s="235"/>
      <c r="H1276" s="235"/>
      <c r="I1276" s="205"/>
      <c r="J1276" s="205"/>
      <c r="K1276" s="205"/>
      <c r="L1276" s="205"/>
      <c r="M1276" s="239"/>
      <c r="N1276" s="235"/>
      <c r="O1276" s="240"/>
      <c r="P1276" s="238"/>
      <c r="Q1276" s="240"/>
      <c r="R1276" s="241"/>
      <c r="S1276" s="240"/>
      <c r="T1276" s="240"/>
      <c r="U1276" s="66"/>
    </row>
    <row r="1277" spans="2:21" x14ac:dyDescent="0.25">
      <c r="B1277" s="66"/>
      <c r="C1277" s="235"/>
      <c r="D1277" s="236"/>
      <c r="E1277" s="237"/>
      <c r="F1277" s="238"/>
      <c r="G1277" s="235"/>
      <c r="H1277" s="235"/>
      <c r="I1277" s="205"/>
      <c r="J1277" s="205"/>
      <c r="K1277" s="205"/>
      <c r="L1277" s="205"/>
      <c r="M1277" s="239"/>
      <c r="N1277" s="235"/>
      <c r="O1277" s="240"/>
      <c r="P1277" s="238"/>
      <c r="Q1277" s="240"/>
      <c r="R1277" s="241"/>
      <c r="S1277" s="240"/>
      <c r="T1277" s="240"/>
      <c r="U1277" s="66"/>
    </row>
    <row r="1278" spans="2:21" x14ac:dyDescent="0.25">
      <c r="B1278" s="66"/>
      <c r="C1278" s="235"/>
      <c r="D1278" s="236"/>
      <c r="E1278" s="237"/>
      <c r="F1278" s="238"/>
      <c r="G1278" s="235"/>
      <c r="H1278" s="235"/>
      <c r="I1278" s="205"/>
      <c r="J1278" s="205"/>
      <c r="K1278" s="205"/>
      <c r="L1278" s="205"/>
      <c r="M1278" s="239"/>
      <c r="N1278" s="235"/>
      <c r="O1278" s="240"/>
      <c r="P1278" s="238"/>
      <c r="Q1278" s="240"/>
      <c r="R1278" s="241"/>
      <c r="S1278" s="240"/>
      <c r="T1278" s="240"/>
      <c r="U1278" s="66"/>
    </row>
    <row r="1279" spans="2:21" x14ac:dyDescent="0.25">
      <c r="B1279" s="66"/>
      <c r="C1279" s="235"/>
      <c r="D1279" s="236"/>
      <c r="E1279" s="237"/>
      <c r="F1279" s="238"/>
      <c r="G1279" s="235"/>
      <c r="H1279" s="235"/>
      <c r="I1279" s="205"/>
      <c r="J1279" s="205"/>
      <c r="K1279" s="205"/>
      <c r="L1279" s="205"/>
      <c r="M1279" s="239"/>
      <c r="N1279" s="235"/>
      <c r="O1279" s="240"/>
      <c r="P1279" s="238"/>
      <c r="Q1279" s="240"/>
      <c r="R1279" s="241"/>
      <c r="S1279" s="240"/>
      <c r="T1279" s="240"/>
      <c r="U1279" s="66"/>
    </row>
    <row r="1280" spans="2:21" x14ac:dyDescent="0.25">
      <c r="B1280" s="66"/>
      <c r="C1280" s="235"/>
      <c r="D1280" s="236"/>
      <c r="E1280" s="237"/>
      <c r="F1280" s="238"/>
      <c r="G1280" s="235"/>
      <c r="H1280" s="235"/>
      <c r="I1280" s="205"/>
      <c r="J1280" s="205"/>
      <c r="K1280" s="205"/>
      <c r="L1280" s="205"/>
      <c r="M1280" s="239"/>
      <c r="N1280" s="235"/>
      <c r="O1280" s="240"/>
      <c r="P1280" s="238"/>
      <c r="Q1280" s="240"/>
      <c r="R1280" s="241"/>
      <c r="S1280" s="240"/>
      <c r="T1280" s="240"/>
      <c r="U1280" s="66"/>
    </row>
    <row r="1281" spans="2:21" x14ac:dyDescent="0.25">
      <c r="B1281" s="66"/>
      <c r="C1281" s="235"/>
      <c r="D1281" s="236"/>
      <c r="E1281" s="237"/>
      <c r="F1281" s="238"/>
      <c r="G1281" s="235"/>
      <c r="H1281" s="235"/>
      <c r="I1281" s="205"/>
      <c r="J1281" s="205"/>
      <c r="K1281" s="205"/>
      <c r="L1281" s="205"/>
      <c r="M1281" s="239"/>
      <c r="N1281" s="235"/>
      <c r="O1281" s="240"/>
      <c r="P1281" s="238"/>
      <c r="Q1281" s="240"/>
      <c r="R1281" s="241"/>
      <c r="S1281" s="240"/>
      <c r="T1281" s="240"/>
      <c r="U1281" s="66"/>
    </row>
    <row r="1282" spans="2:21" x14ac:dyDescent="0.25">
      <c r="B1282" s="66"/>
      <c r="C1282" s="235"/>
      <c r="D1282" s="236"/>
      <c r="E1282" s="237"/>
      <c r="F1282" s="238"/>
      <c r="G1282" s="235"/>
      <c r="H1282" s="235"/>
      <c r="I1282" s="205"/>
      <c r="J1282" s="205"/>
      <c r="K1282" s="205"/>
      <c r="L1282" s="205"/>
      <c r="M1282" s="239"/>
      <c r="N1282" s="235"/>
      <c r="O1282" s="240"/>
      <c r="P1282" s="238"/>
      <c r="Q1282" s="240"/>
      <c r="R1282" s="241"/>
      <c r="S1282" s="240"/>
      <c r="T1282" s="240"/>
      <c r="U1282" s="66"/>
    </row>
    <row r="1283" spans="2:21" x14ac:dyDescent="0.25">
      <c r="B1283" s="66"/>
      <c r="C1283" s="235"/>
      <c r="D1283" s="236"/>
      <c r="E1283" s="237"/>
      <c r="F1283" s="238"/>
      <c r="G1283" s="235"/>
      <c r="H1283" s="235"/>
      <c r="I1283" s="205"/>
      <c r="J1283" s="205"/>
      <c r="K1283" s="205"/>
      <c r="L1283" s="205"/>
      <c r="M1283" s="239"/>
      <c r="N1283" s="235"/>
      <c r="O1283" s="240"/>
      <c r="P1283" s="238"/>
      <c r="Q1283" s="240"/>
      <c r="R1283" s="241"/>
      <c r="S1283" s="240"/>
      <c r="T1283" s="240"/>
      <c r="U1283" s="66"/>
    </row>
    <row r="1284" spans="2:21" x14ac:dyDescent="0.25">
      <c r="B1284" s="66"/>
      <c r="C1284" s="235"/>
      <c r="D1284" s="236"/>
      <c r="E1284" s="237"/>
      <c r="F1284" s="238"/>
      <c r="G1284" s="235"/>
      <c r="H1284" s="235"/>
      <c r="I1284" s="205"/>
      <c r="J1284" s="205"/>
      <c r="K1284" s="205"/>
      <c r="L1284" s="205"/>
      <c r="M1284" s="239"/>
      <c r="N1284" s="235"/>
      <c r="O1284" s="240"/>
      <c r="P1284" s="238"/>
      <c r="Q1284" s="240"/>
      <c r="R1284" s="241"/>
      <c r="S1284" s="240"/>
      <c r="T1284" s="240"/>
      <c r="U1284" s="66"/>
    </row>
    <row r="1285" spans="2:21" x14ac:dyDescent="0.25">
      <c r="B1285" s="66"/>
      <c r="C1285" s="235"/>
      <c r="D1285" s="236"/>
      <c r="E1285" s="237"/>
      <c r="F1285" s="238"/>
      <c r="G1285" s="235"/>
      <c r="H1285" s="235"/>
      <c r="I1285" s="205"/>
      <c r="J1285" s="205"/>
      <c r="K1285" s="205"/>
      <c r="L1285" s="205"/>
      <c r="M1285" s="239"/>
      <c r="N1285" s="235"/>
      <c r="O1285" s="240"/>
      <c r="P1285" s="238"/>
      <c r="Q1285" s="240"/>
      <c r="R1285" s="241"/>
      <c r="S1285" s="240"/>
      <c r="T1285" s="240"/>
      <c r="U1285" s="66"/>
    </row>
    <row r="1286" spans="2:21" x14ac:dyDescent="0.25">
      <c r="B1286" s="66"/>
      <c r="C1286" s="235"/>
      <c r="D1286" s="236"/>
      <c r="E1286" s="237"/>
      <c r="F1286" s="238"/>
      <c r="G1286" s="235"/>
      <c r="H1286" s="235"/>
      <c r="I1286" s="205"/>
      <c r="J1286" s="205"/>
      <c r="K1286" s="205"/>
      <c r="L1286" s="205"/>
      <c r="M1286" s="239"/>
      <c r="N1286" s="235"/>
      <c r="O1286" s="240"/>
      <c r="P1286" s="238"/>
      <c r="Q1286" s="240"/>
      <c r="R1286" s="241"/>
      <c r="S1286" s="240"/>
      <c r="T1286" s="240"/>
      <c r="U1286" s="66"/>
    </row>
    <row r="1287" spans="2:21" x14ac:dyDescent="0.25">
      <c r="B1287" s="66"/>
      <c r="C1287" s="235"/>
      <c r="D1287" s="236"/>
      <c r="E1287" s="237"/>
      <c r="F1287" s="238"/>
      <c r="G1287" s="235"/>
      <c r="H1287" s="235"/>
      <c r="I1287" s="205"/>
      <c r="J1287" s="205"/>
      <c r="K1287" s="205"/>
      <c r="L1287" s="205"/>
      <c r="M1287" s="239"/>
      <c r="N1287" s="235"/>
      <c r="O1287" s="240"/>
      <c r="P1287" s="238"/>
      <c r="Q1287" s="240"/>
      <c r="R1287" s="241"/>
      <c r="S1287" s="240"/>
      <c r="T1287" s="240"/>
      <c r="U1287" s="66"/>
    </row>
    <row r="1288" spans="2:21" x14ac:dyDescent="0.25">
      <c r="B1288" s="66"/>
      <c r="C1288" s="235"/>
      <c r="D1288" s="236"/>
      <c r="E1288" s="237"/>
      <c r="F1288" s="238"/>
      <c r="G1288" s="235"/>
      <c r="H1288" s="235"/>
      <c r="I1288" s="205"/>
      <c r="J1288" s="205"/>
      <c r="K1288" s="205"/>
      <c r="L1288" s="205"/>
      <c r="M1288" s="239"/>
      <c r="N1288" s="235"/>
      <c r="O1288" s="240"/>
      <c r="P1288" s="238"/>
      <c r="Q1288" s="240"/>
      <c r="R1288" s="241"/>
      <c r="S1288" s="240"/>
      <c r="T1288" s="240"/>
      <c r="U1288" s="66"/>
    </row>
    <row r="1289" spans="2:21" x14ac:dyDescent="0.25">
      <c r="B1289" s="66"/>
      <c r="C1289" s="235"/>
      <c r="D1289" s="236"/>
      <c r="E1289" s="237"/>
      <c r="F1289" s="238"/>
      <c r="G1289" s="235"/>
      <c r="H1289" s="235"/>
      <c r="I1289" s="205"/>
      <c r="J1289" s="205"/>
      <c r="K1289" s="205"/>
      <c r="L1289" s="205"/>
      <c r="M1289" s="239"/>
      <c r="N1289" s="235"/>
      <c r="O1289" s="240"/>
      <c r="P1289" s="238"/>
      <c r="Q1289" s="240"/>
      <c r="R1289" s="241"/>
      <c r="S1289" s="240"/>
      <c r="T1289" s="240"/>
      <c r="U1289" s="66"/>
    </row>
    <row r="1290" spans="2:21" x14ac:dyDescent="0.25">
      <c r="B1290" s="66"/>
      <c r="C1290" s="235"/>
      <c r="D1290" s="236"/>
      <c r="E1290" s="237"/>
      <c r="F1290" s="238"/>
      <c r="G1290" s="235"/>
      <c r="H1290" s="235"/>
      <c r="I1290" s="205"/>
      <c r="J1290" s="205"/>
      <c r="K1290" s="205"/>
      <c r="L1290" s="205"/>
      <c r="M1290" s="239"/>
      <c r="N1290" s="235"/>
      <c r="O1290" s="240"/>
      <c r="P1290" s="238"/>
      <c r="Q1290" s="240"/>
      <c r="R1290" s="241"/>
      <c r="S1290" s="240"/>
      <c r="T1290" s="240"/>
      <c r="U1290" s="66"/>
    </row>
    <row r="1291" spans="2:21" x14ac:dyDescent="0.25">
      <c r="B1291" s="66"/>
      <c r="C1291" s="235"/>
      <c r="D1291" s="236"/>
      <c r="E1291" s="237"/>
      <c r="F1291" s="238"/>
      <c r="G1291" s="235"/>
      <c r="H1291" s="235"/>
      <c r="I1291" s="205"/>
      <c r="J1291" s="205"/>
      <c r="K1291" s="205"/>
      <c r="L1291" s="205"/>
      <c r="M1291" s="239"/>
      <c r="N1291" s="235"/>
      <c r="O1291" s="240"/>
      <c r="P1291" s="238"/>
      <c r="Q1291" s="240"/>
      <c r="R1291" s="241"/>
      <c r="S1291" s="240"/>
      <c r="T1291" s="240"/>
      <c r="U1291" s="66"/>
    </row>
    <row r="1292" spans="2:21" x14ac:dyDescent="0.25">
      <c r="B1292" s="66"/>
      <c r="C1292" s="235"/>
      <c r="D1292" s="236"/>
      <c r="E1292" s="237"/>
      <c r="F1292" s="238"/>
      <c r="G1292" s="235"/>
      <c r="H1292" s="235"/>
      <c r="I1292" s="205"/>
      <c r="J1292" s="205"/>
      <c r="K1292" s="205"/>
      <c r="L1292" s="205"/>
      <c r="M1292" s="239"/>
      <c r="N1292" s="235"/>
      <c r="O1292" s="240"/>
      <c r="P1292" s="238"/>
      <c r="Q1292" s="240"/>
      <c r="R1292" s="241"/>
      <c r="S1292" s="240"/>
      <c r="T1292" s="240"/>
      <c r="U1292" s="66"/>
    </row>
    <row r="1293" spans="2:21" x14ac:dyDescent="0.25">
      <c r="B1293" s="66"/>
      <c r="C1293" s="235"/>
      <c r="D1293" s="236"/>
      <c r="E1293" s="237"/>
      <c r="F1293" s="238"/>
      <c r="G1293" s="235"/>
      <c r="H1293" s="235"/>
      <c r="I1293" s="205"/>
      <c r="J1293" s="205"/>
      <c r="K1293" s="205"/>
      <c r="L1293" s="205"/>
      <c r="M1293" s="239"/>
      <c r="N1293" s="235"/>
      <c r="O1293" s="240"/>
      <c r="P1293" s="238"/>
      <c r="Q1293" s="240"/>
      <c r="R1293" s="241"/>
      <c r="S1293" s="240"/>
      <c r="T1293" s="240"/>
      <c r="U1293" s="66"/>
    </row>
    <row r="1294" spans="2:21" x14ac:dyDescent="0.25">
      <c r="B1294" s="66"/>
      <c r="C1294" s="235"/>
      <c r="D1294" s="236"/>
      <c r="E1294" s="237"/>
      <c r="F1294" s="238"/>
      <c r="G1294" s="235"/>
      <c r="H1294" s="235"/>
      <c r="I1294" s="205"/>
      <c r="J1294" s="205"/>
      <c r="K1294" s="205"/>
      <c r="L1294" s="205"/>
      <c r="M1294" s="239"/>
      <c r="N1294" s="235"/>
      <c r="O1294" s="240"/>
      <c r="P1294" s="238"/>
      <c r="Q1294" s="240"/>
      <c r="R1294" s="241"/>
      <c r="S1294" s="240"/>
      <c r="T1294" s="240"/>
      <c r="U1294" s="66"/>
    </row>
    <row r="1295" spans="2:21" x14ac:dyDescent="0.25">
      <c r="B1295" s="66"/>
      <c r="C1295" s="235"/>
      <c r="D1295" s="236"/>
      <c r="E1295" s="237"/>
      <c r="F1295" s="238"/>
      <c r="G1295" s="235"/>
      <c r="H1295" s="235"/>
      <c r="I1295" s="205"/>
      <c r="J1295" s="205"/>
      <c r="K1295" s="205"/>
      <c r="L1295" s="205"/>
      <c r="M1295" s="239"/>
      <c r="N1295" s="235"/>
      <c r="O1295" s="240"/>
      <c r="P1295" s="238"/>
      <c r="Q1295" s="240"/>
      <c r="R1295" s="241"/>
      <c r="S1295" s="240"/>
      <c r="T1295" s="240"/>
      <c r="U1295" s="66"/>
    </row>
    <row r="1296" spans="2:21" x14ac:dyDescent="0.25">
      <c r="B1296" s="66"/>
      <c r="C1296" s="235"/>
      <c r="D1296" s="236"/>
      <c r="E1296" s="237"/>
      <c r="F1296" s="238"/>
      <c r="G1296" s="235"/>
      <c r="H1296" s="235"/>
      <c r="I1296" s="205"/>
      <c r="J1296" s="205"/>
      <c r="K1296" s="205"/>
      <c r="L1296" s="205"/>
      <c r="M1296" s="239"/>
      <c r="N1296" s="235"/>
      <c r="O1296" s="240"/>
      <c r="P1296" s="238"/>
      <c r="Q1296" s="240"/>
      <c r="R1296" s="241"/>
      <c r="S1296" s="240"/>
      <c r="T1296" s="240"/>
      <c r="U1296" s="66"/>
    </row>
    <row r="1297" spans="2:21" x14ac:dyDescent="0.25">
      <c r="B1297" s="66"/>
      <c r="C1297" s="235"/>
      <c r="D1297" s="236"/>
      <c r="E1297" s="237"/>
      <c r="F1297" s="238"/>
      <c r="G1297" s="235"/>
      <c r="H1297" s="235"/>
      <c r="I1297" s="205"/>
      <c r="J1297" s="205"/>
      <c r="K1297" s="205"/>
      <c r="L1297" s="205"/>
      <c r="M1297" s="239"/>
      <c r="N1297" s="235"/>
      <c r="O1297" s="240"/>
      <c r="P1297" s="238"/>
      <c r="Q1297" s="240"/>
      <c r="R1297" s="241"/>
      <c r="S1297" s="240"/>
      <c r="T1297" s="240"/>
      <c r="U1297" s="66"/>
    </row>
    <row r="1298" spans="2:21" x14ac:dyDescent="0.25">
      <c r="B1298" s="66"/>
      <c r="C1298" s="235"/>
      <c r="D1298" s="236"/>
      <c r="E1298" s="237"/>
      <c r="F1298" s="238"/>
      <c r="G1298" s="235"/>
      <c r="H1298" s="235"/>
      <c r="I1298" s="205"/>
      <c r="J1298" s="205"/>
      <c r="K1298" s="205"/>
      <c r="L1298" s="205"/>
      <c r="M1298" s="239"/>
      <c r="N1298" s="235"/>
      <c r="O1298" s="240"/>
      <c r="P1298" s="238"/>
      <c r="Q1298" s="240"/>
      <c r="R1298" s="241"/>
      <c r="S1298" s="240"/>
      <c r="T1298" s="240"/>
      <c r="U1298" s="66"/>
    </row>
    <row r="1299" spans="2:21" x14ac:dyDescent="0.25">
      <c r="B1299" s="66"/>
      <c r="C1299" s="235"/>
      <c r="D1299" s="236"/>
      <c r="E1299" s="237"/>
      <c r="F1299" s="238"/>
      <c r="G1299" s="235"/>
      <c r="H1299" s="235"/>
      <c r="I1299" s="205"/>
      <c r="J1299" s="205"/>
      <c r="K1299" s="205"/>
      <c r="L1299" s="205"/>
      <c r="M1299" s="239"/>
      <c r="N1299" s="235"/>
      <c r="O1299" s="240"/>
      <c r="P1299" s="238"/>
      <c r="Q1299" s="240"/>
      <c r="R1299" s="241"/>
      <c r="S1299" s="240"/>
      <c r="T1299" s="240"/>
      <c r="U1299" s="66"/>
    </row>
    <row r="1300" spans="2:21" x14ac:dyDescent="0.25">
      <c r="B1300" s="66"/>
      <c r="C1300" s="235"/>
      <c r="D1300" s="236"/>
      <c r="E1300" s="237"/>
      <c r="F1300" s="238"/>
      <c r="G1300" s="235"/>
      <c r="H1300" s="235"/>
      <c r="I1300" s="205"/>
      <c r="J1300" s="205"/>
      <c r="K1300" s="205"/>
      <c r="L1300" s="205"/>
      <c r="M1300" s="239"/>
      <c r="N1300" s="235"/>
      <c r="O1300" s="240"/>
      <c r="P1300" s="238"/>
      <c r="Q1300" s="240"/>
      <c r="R1300" s="241"/>
      <c r="S1300" s="240"/>
      <c r="T1300" s="240"/>
      <c r="U1300" s="66"/>
    </row>
    <row r="1301" spans="2:21" x14ac:dyDescent="0.25">
      <c r="B1301" s="66"/>
      <c r="C1301" s="235"/>
      <c r="D1301" s="236"/>
      <c r="E1301" s="237"/>
      <c r="F1301" s="238"/>
      <c r="G1301" s="235"/>
      <c r="H1301" s="235"/>
      <c r="I1301" s="205"/>
      <c r="J1301" s="205"/>
      <c r="K1301" s="205"/>
      <c r="L1301" s="205"/>
      <c r="M1301" s="239"/>
      <c r="N1301" s="235"/>
      <c r="O1301" s="240"/>
      <c r="P1301" s="238"/>
      <c r="Q1301" s="240"/>
      <c r="R1301" s="241"/>
      <c r="S1301" s="240"/>
      <c r="T1301" s="240"/>
      <c r="U1301" s="66"/>
    </row>
    <row r="1302" spans="2:21" x14ac:dyDescent="0.25">
      <c r="B1302" s="66"/>
      <c r="C1302" s="235"/>
      <c r="D1302" s="236"/>
      <c r="E1302" s="237"/>
      <c r="F1302" s="238"/>
      <c r="G1302" s="235"/>
      <c r="H1302" s="235"/>
      <c r="I1302" s="205"/>
      <c r="J1302" s="205"/>
      <c r="K1302" s="205"/>
      <c r="L1302" s="205"/>
      <c r="M1302" s="239"/>
      <c r="N1302" s="235"/>
      <c r="O1302" s="240"/>
      <c r="P1302" s="238"/>
      <c r="Q1302" s="240"/>
      <c r="R1302" s="241"/>
      <c r="S1302" s="240"/>
      <c r="T1302" s="240"/>
      <c r="U1302" s="66"/>
    </row>
    <row r="1303" spans="2:21" x14ac:dyDescent="0.25">
      <c r="B1303" s="66"/>
      <c r="C1303" s="235"/>
      <c r="D1303" s="236"/>
      <c r="E1303" s="237"/>
      <c r="F1303" s="238"/>
      <c r="G1303" s="235"/>
      <c r="H1303" s="235"/>
      <c r="I1303" s="205"/>
      <c r="J1303" s="205"/>
      <c r="K1303" s="205"/>
      <c r="L1303" s="205"/>
      <c r="M1303" s="239"/>
      <c r="N1303" s="235"/>
      <c r="O1303" s="240"/>
      <c r="P1303" s="238"/>
      <c r="Q1303" s="240"/>
      <c r="R1303" s="241"/>
      <c r="S1303" s="240"/>
      <c r="T1303" s="240"/>
      <c r="U1303" s="66"/>
    </row>
    <row r="1304" spans="2:21" x14ac:dyDescent="0.25">
      <c r="B1304" s="66"/>
      <c r="C1304" s="235"/>
      <c r="D1304" s="236"/>
      <c r="E1304" s="237"/>
      <c r="F1304" s="238"/>
      <c r="G1304" s="235"/>
      <c r="H1304" s="235"/>
      <c r="I1304" s="205"/>
      <c r="J1304" s="205"/>
      <c r="K1304" s="205"/>
      <c r="L1304" s="205"/>
      <c r="M1304" s="239"/>
      <c r="N1304" s="235"/>
      <c r="O1304" s="240"/>
      <c r="P1304" s="238"/>
      <c r="Q1304" s="240"/>
      <c r="R1304" s="241"/>
      <c r="S1304" s="240"/>
      <c r="T1304" s="240"/>
      <c r="U1304" s="66"/>
    </row>
    <row r="1305" spans="2:21" x14ac:dyDescent="0.25">
      <c r="B1305" s="66"/>
      <c r="C1305" s="235"/>
      <c r="D1305" s="236"/>
      <c r="E1305" s="237"/>
      <c r="F1305" s="238"/>
      <c r="G1305" s="235"/>
      <c r="H1305" s="235"/>
      <c r="I1305" s="205"/>
      <c r="J1305" s="205"/>
      <c r="K1305" s="205"/>
      <c r="L1305" s="205"/>
      <c r="M1305" s="239"/>
      <c r="N1305" s="235"/>
      <c r="O1305" s="240"/>
      <c r="P1305" s="238"/>
      <c r="Q1305" s="240"/>
      <c r="R1305" s="241"/>
      <c r="S1305" s="240"/>
      <c r="T1305" s="240"/>
      <c r="U1305" s="66"/>
    </row>
    <row r="1306" spans="2:21" x14ac:dyDescent="0.25">
      <c r="B1306" s="66"/>
      <c r="C1306" s="235"/>
      <c r="D1306" s="236"/>
      <c r="E1306" s="237"/>
      <c r="F1306" s="238"/>
      <c r="G1306" s="235"/>
      <c r="H1306" s="235"/>
      <c r="I1306" s="205"/>
      <c r="J1306" s="205"/>
      <c r="K1306" s="205"/>
      <c r="L1306" s="205"/>
      <c r="M1306" s="239"/>
      <c r="N1306" s="235"/>
      <c r="O1306" s="240"/>
      <c r="P1306" s="238"/>
      <c r="Q1306" s="240"/>
      <c r="R1306" s="241"/>
      <c r="S1306" s="240"/>
      <c r="T1306" s="240"/>
      <c r="U1306" s="66"/>
    </row>
    <row r="1307" spans="2:21" x14ac:dyDescent="0.25">
      <c r="B1307" s="66"/>
      <c r="C1307" s="235"/>
      <c r="D1307" s="236"/>
      <c r="E1307" s="237"/>
      <c r="F1307" s="238"/>
      <c r="G1307" s="235"/>
      <c r="H1307" s="235"/>
      <c r="I1307" s="205"/>
      <c r="J1307" s="205"/>
      <c r="K1307" s="205"/>
      <c r="L1307" s="205"/>
      <c r="M1307" s="239"/>
      <c r="N1307" s="235"/>
      <c r="O1307" s="240"/>
      <c r="P1307" s="238"/>
      <c r="Q1307" s="240"/>
      <c r="R1307" s="241"/>
      <c r="S1307" s="240"/>
      <c r="T1307" s="240"/>
      <c r="U1307" s="66"/>
    </row>
    <row r="1308" spans="2:21" x14ac:dyDescent="0.25">
      <c r="B1308" s="66"/>
      <c r="C1308" s="235"/>
      <c r="D1308" s="236"/>
      <c r="E1308" s="237"/>
      <c r="F1308" s="238"/>
      <c r="G1308" s="235"/>
      <c r="H1308" s="235"/>
      <c r="I1308" s="205"/>
      <c r="J1308" s="205"/>
      <c r="K1308" s="205"/>
      <c r="L1308" s="205"/>
      <c r="M1308" s="239"/>
      <c r="N1308" s="235"/>
      <c r="O1308" s="240"/>
      <c r="P1308" s="238"/>
      <c r="Q1308" s="240"/>
      <c r="R1308" s="241"/>
      <c r="S1308" s="240"/>
      <c r="T1308" s="240"/>
      <c r="U1308" s="66"/>
    </row>
    <row r="1309" spans="2:21" x14ac:dyDescent="0.25">
      <c r="B1309" s="66"/>
      <c r="C1309" s="235"/>
      <c r="D1309" s="236"/>
      <c r="E1309" s="237"/>
      <c r="F1309" s="238"/>
      <c r="G1309" s="235"/>
      <c r="H1309" s="235"/>
      <c r="I1309" s="205"/>
      <c r="J1309" s="205"/>
      <c r="K1309" s="205"/>
      <c r="L1309" s="205"/>
      <c r="M1309" s="239"/>
      <c r="N1309" s="235"/>
      <c r="O1309" s="240"/>
      <c r="P1309" s="238"/>
      <c r="Q1309" s="240"/>
      <c r="R1309" s="241"/>
      <c r="S1309" s="240"/>
      <c r="T1309" s="240"/>
      <c r="U1309" s="66"/>
    </row>
    <row r="1310" spans="2:21" x14ac:dyDescent="0.25">
      <c r="B1310" s="66"/>
      <c r="C1310" s="235"/>
      <c r="D1310" s="236"/>
      <c r="E1310" s="237"/>
      <c r="F1310" s="238"/>
      <c r="G1310" s="235"/>
      <c r="H1310" s="235"/>
      <c r="I1310" s="205"/>
      <c r="J1310" s="205"/>
      <c r="K1310" s="205"/>
      <c r="L1310" s="205"/>
      <c r="M1310" s="239"/>
      <c r="N1310" s="235"/>
      <c r="O1310" s="240"/>
      <c r="P1310" s="238"/>
      <c r="Q1310" s="240"/>
      <c r="R1310" s="241"/>
      <c r="S1310" s="240"/>
      <c r="T1310" s="240"/>
      <c r="U1310" s="66"/>
    </row>
    <row r="1311" spans="2:21" x14ac:dyDescent="0.25">
      <c r="B1311" s="66"/>
      <c r="C1311" s="235"/>
      <c r="D1311" s="236"/>
      <c r="E1311" s="237"/>
      <c r="F1311" s="238"/>
      <c r="G1311" s="235"/>
      <c r="H1311" s="235"/>
      <c r="I1311" s="205"/>
      <c r="J1311" s="205"/>
      <c r="K1311" s="205"/>
      <c r="L1311" s="205"/>
      <c r="M1311" s="239"/>
      <c r="N1311" s="235"/>
      <c r="O1311" s="240"/>
      <c r="P1311" s="238"/>
      <c r="Q1311" s="240"/>
      <c r="R1311" s="241"/>
      <c r="S1311" s="240"/>
      <c r="T1311" s="240"/>
      <c r="U1311" s="66"/>
    </row>
    <row r="1312" spans="2:21" x14ac:dyDescent="0.25">
      <c r="B1312" s="66"/>
      <c r="C1312" s="235"/>
      <c r="D1312" s="236"/>
      <c r="E1312" s="237"/>
      <c r="F1312" s="238"/>
      <c r="G1312" s="235"/>
      <c r="H1312" s="235"/>
      <c r="I1312" s="205"/>
      <c r="J1312" s="205"/>
      <c r="K1312" s="205"/>
      <c r="L1312" s="205"/>
      <c r="M1312" s="239"/>
      <c r="N1312" s="235"/>
      <c r="O1312" s="240"/>
      <c r="P1312" s="238"/>
      <c r="Q1312" s="240"/>
      <c r="R1312" s="241"/>
      <c r="S1312" s="240"/>
      <c r="T1312" s="240"/>
      <c r="U1312" s="66"/>
    </row>
    <row r="1313" spans="2:21" x14ac:dyDescent="0.25">
      <c r="B1313" s="66"/>
      <c r="C1313" s="235"/>
      <c r="D1313" s="236"/>
      <c r="E1313" s="237"/>
      <c r="F1313" s="238"/>
      <c r="G1313" s="235"/>
      <c r="H1313" s="235"/>
      <c r="I1313" s="205"/>
      <c r="J1313" s="205"/>
      <c r="K1313" s="205"/>
      <c r="L1313" s="205"/>
      <c r="M1313" s="239"/>
      <c r="N1313" s="235"/>
      <c r="O1313" s="240"/>
      <c r="P1313" s="238"/>
      <c r="Q1313" s="240"/>
      <c r="R1313" s="241"/>
      <c r="S1313" s="240"/>
      <c r="T1313" s="240"/>
      <c r="U1313" s="66"/>
    </row>
    <row r="1314" spans="2:21" x14ac:dyDescent="0.25">
      <c r="B1314" s="66"/>
      <c r="C1314" s="235"/>
      <c r="D1314" s="236"/>
      <c r="E1314" s="237"/>
      <c r="F1314" s="238"/>
      <c r="G1314" s="235"/>
      <c r="H1314" s="235"/>
      <c r="I1314" s="205"/>
      <c r="J1314" s="205"/>
      <c r="K1314" s="205"/>
      <c r="L1314" s="205"/>
      <c r="M1314" s="239"/>
      <c r="N1314" s="235"/>
      <c r="O1314" s="240"/>
      <c r="P1314" s="238"/>
      <c r="Q1314" s="240"/>
      <c r="R1314" s="241"/>
      <c r="S1314" s="240"/>
      <c r="T1314" s="240"/>
      <c r="U1314" s="66"/>
    </row>
    <row r="1315" spans="2:21" x14ac:dyDescent="0.25">
      <c r="B1315" s="66"/>
      <c r="C1315" s="235"/>
      <c r="D1315" s="236"/>
      <c r="E1315" s="237"/>
      <c r="F1315" s="238"/>
      <c r="G1315" s="235"/>
      <c r="H1315" s="235"/>
      <c r="I1315" s="205"/>
      <c r="J1315" s="205"/>
      <c r="K1315" s="205"/>
      <c r="L1315" s="205"/>
      <c r="M1315" s="239"/>
      <c r="N1315" s="235"/>
      <c r="O1315" s="240"/>
      <c r="P1315" s="238"/>
      <c r="Q1315" s="240"/>
      <c r="R1315" s="241"/>
      <c r="S1315" s="240"/>
      <c r="T1315" s="240"/>
      <c r="U1315" s="66"/>
    </row>
    <row r="1316" spans="2:21" x14ac:dyDescent="0.25">
      <c r="B1316" s="66"/>
      <c r="C1316" s="235"/>
      <c r="D1316" s="236"/>
      <c r="E1316" s="237"/>
      <c r="F1316" s="238"/>
      <c r="G1316" s="235"/>
      <c r="H1316" s="235"/>
      <c r="I1316" s="205"/>
      <c r="J1316" s="205"/>
      <c r="K1316" s="205"/>
      <c r="L1316" s="205"/>
      <c r="M1316" s="239"/>
      <c r="N1316" s="235"/>
      <c r="O1316" s="240"/>
      <c r="P1316" s="238"/>
      <c r="Q1316" s="240"/>
      <c r="R1316" s="241"/>
      <c r="S1316" s="240"/>
      <c r="T1316" s="240"/>
      <c r="U1316" s="66"/>
    </row>
    <row r="1317" spans="2:21" x14ac:dyDescent="0.25">
      <c r="B1317" s="66"/>
      <c r="C1317" s="235"/>
      <c r="D1317" s="236"/>
      <c r="E1317" s="237"/>
      <c r="F1317" s="238"/>
      <c r="G1317" s="235"/>
      <c r="H1317" s="235"/>
      <c r="I1317" s="205"/>
      <c r="J1317" s="205"/>
      <c r="K1317" s="205"/>
      <c r="L1317" s="205"/>
      <c r="M1317" s="239"/>
      <c r="N1317" s="235"/>
      <c r="O1317" s="240"/>
      <c r="P1317" s="238"/>
      <c r="Q1317" s="240"/>
      <c r="R1317" s="241"/>
      <c r="S1317" s="240"/>
      <c r="T1317" s="240"/>
      <c r="U1317" s="66"/>
    </row>
    <row r="1318" spans="2:21" x14ac:dyDescent="0.25">
      <c r="B1318" s="66"/>
      <c r="C1318" s="235"/>
      <c r="D1318" s="236"/>
      <c r="E1318" s="237"/>
      <c r="F1318" s="238"/>
      <c r="G1318" s="235"/>
      <c r="H1318" s="235"/>
      <c r="I1318" s="205"/>
      <c r="J1318" s="205"/>
      <c r="K1318" s="205"/>
      <c r="L1318" s="205"/>
      <c r="M1318" s="239"/>
      <c r="N1318" s="235"/>
      <c r="O1318" s="240"/>
      <c r="P1318" s="238"/>
      <c r="Q1318" s="240"/>
      <c r="R1318" s="241"/>
      <c r="S1318" s="240"/>
      <c r="T1318" s="240"/>
      <c r="U1318" s="66"/>
    </row>
    <row r="1319" spans="2:21" x14ac:dyDescent="0.25">
      <c r="B1319" s="66"/>
      <c r="C1319" s="235"/>
      <c r="D1319" s="236"/>
      <c r="E1319" s="237"/>
      <c r="F1319" s="238"/>
      <c r="G1319" s="235"/>
      <c r="H1319" s="235"/>
      <c r="I1319" s="205"/>
      <c r="J1319" s="205"/>
      <c r="K1319" s="205"/>
      <c r="L1319" s="205"/>
      <c r="M1319" s="239"/>
      <c r="N1319" s="235"/>
      <c r="O1319" s="240"/>
      <c r="P1319" s="238"/>
      <c r="Q1319" s="240"/>
      <c r="R1319" s="241"/>
      <c r="S1319" s="240"/>
      <c r="T1319" s="240"/>
      <c r="U1319" s="66"/>
    </row>
    <row r="1320" spans="2:21" x14ac:dyDescent="0.25">
      <c r="B1320" s="66"/>
      <c r="C1320" s="235"/>
      <c r="D1320" s="236"/>
      <c r="E1320" s="237"/>
      <c r="F1320" s="238"/>
      <c r="G1320" s="235"/>
      <c r="H1320" s="235"/>
      <c r="I1320" s="205"/>
      <c r="J1320" s="205"/>
      <c r="K1320" s="205"/>
      <c r="L1320" s="205"/>
      <c r="M1320" s="239"/>
      <c r="N1320" s="235"/>
      <c r="O1320" s="240"/>
      <c r="P1320" s="238"/>
      <c r="Q1320" s="240"/>
      <c r="R1320" s="241"/>
      <c r="S1320" s="240"/>
      <c r="T1320" s="240"/>
      <c r="U1320" s="66"/>
    </row>
    <row r="1321" spans="2:21" x14ac:dyDescent="0.25">
      <c r="B1321" s="66"/>
      <c r="C1321" s="235"/>
      <c r="D1321" s="236"/>
      <c r="E1321" s="237"/>
      <c r="F1321" s="238"/>
      <c r="G1321" s="235"/>
      <c r="H1321" s="235"/>
      <c r="I1321" s="205"/>
      <c r="J1321" s="205"/>
      <c r="K1321" s="205"/>
      <c r="L1321" s="205"/>
      <c r="M1321" s="239"/>
      <c r="N1321" s="235"/>
      <c r="O1321" s="240"/>
      <c r="P1321" s="238"/>
      <c r="Q1321" s="240"/>
      <c r="R1321" s="241"/>
      <c r="S1321" s="240"/>
      <c r="T1321" s="240"/>
      <c r="U1321" s="66"/>
    </row>
    <row r="1322" spans="2:21" x14ac:dyDescent="0.25">
      <c r="B1322" s="66"/>
      <c r="C1322" s="235"/>
      <c r="D1322" s="236"/>
      <c r="E1322" s="237"/>
      <c r="F1322" s="238"/>
      <c r="G1322" s="235"/>
      <c r="H1322" s="235"/>
      <c r="I1322" s="205"/>
      <c r="J1322" s="205"/>
      <c r="K1322" s="205"/>
      <c r="L1322" s="205"/>
      <c r="M1322" s="239"/>
      <c r="N1322" s="235"/>
      <c r="O1322" s="240"/>
      <c r="P1322" s="238"/>
      <c r="Q1322" s="240"/>
      <c r="R1322" s="241"/>
      <c r="S1322" s="240"/>
      <c r="T1322" s="240"/>
      <c r="U1322" s="66"/>
    </row>
    <row r="1323" spans="2:21" x14ac:dyDescent="0.25">
      <c r="B1323" s="66"/>
      <c r="C1323" s="235"/>
      <c r="D1323" s="236"/>
      <c r="E1323" s="237"/>
      <c r="F1323" s="238"/>
      <c r="G1323" s="235"/>
      <c r="H1323" s="235"/>
      <c r="I1323" s="205"/>
      <c r="J1323" s="205"/>
      <c r="K1323" s="205"/>
      <c r="L1323" s="205"/>
      <c r="M1323" s="239"/>
      <c r="N1323" s="235"/>
      <c r="O1323" s="240"/>
      <c r="P1323" s="238"/>
      <c r="Q1323" s="240"/>
      <c r="R1323" s="241"/>
      <c r="S1323" s="240"/>
      <c r="T1323" s="240"/>
      <c r="U1323" s="66"/>
    </row>
    <row r="1324" spans="2:21" x14ac:dyDescent="0.25">
      <c r="B1324" s="66"/>
      <c r="C1324" s="235"/>
      <c r="D1324" s="236"/>
      <c r="E1324" s="237"/>
      <c r="F1324" s="238"/>
      <c r="G1324" s="235"/>
      <c r="H1324" s="235"/>
      <c r="I1324" s="205"/>
      <c r="J1324" s="205"/>
      <c r="K1324" s="205"/>
      <c r="L1324" s="205"/>
      <c r="M1324" s="239"/>
      <c r="N1324" s="235"/>
      <c r="O1324" s="240"/>
      <c r="P1324" s="238"/>
      <c r="Q1324" s="240"/>
      <c r="R1324" s="241"/>
      <c r="S1324" s="240"/>
      <c r="T1324" s="240"/>
      <c r="U1324" s="66"/>
    </row>
    <row r="1325" spans="2:21" x14ac:dyDescent="0.25">
      <c r="B1325" s="66"/>
      <c r="C1325" s="235"/>
      <c r="D1325" s="236"/>
      <c r="E1325" s="237"/>
      <c r="F1325" s="238"/>
      <c r="G1325" s="235"/>
      <c r="H1325" s="235"/>
      <c r="I1325" s="205"/>
      <c r="J1325" s="205"/>
      <c r="K1325" s="205"/>
      <c r="L1325" s="205"/>
      <c r="M1325" s="239"/>
      <c r="N1325" s="235"/>
      <c r="O1325" s="240"/>
      <c r="P1325" s="238"/>
      <c r="Q1325" s="240"/>
      <c r="R1325" s="241"/>
      <c r="S1325" s="240"/>
      <c r="T1325" s="240"/>
      <c r="U1325" s="66"/>
    </row>
    <row r="1326" spans="2:21" x14ac:dyDescent="0.25">
      <c r="B1326" s="66"/>
      <c r="C1326" s="235"/>
      <c r="D1326" s="236"/>
      <c r="E1326" s="237"/>
      <c r="F1326" s="238"/>
      <c r="G1326" s="235"/>
      <c r="H1326" s="235"/>
      <c r="I1326" s="205"/>
      <c r="J1326" s="205"/>
      <c r="K1326" s="205"/>
      <c r="L1326" s="205"/>
      <c r="M1326" s="239"/>
      <c r="N1326" s="235"/>
      <c r="O1326" s="240"/>
      <c r="P1326" s="238"/>
      <c r="Q1326" s="240"/>
      <c r="R1326" s="241"/>
      <c r="S1326" s="240"/>
      <c r="T1326" s="240"/>
      <c r="U1326" s="66"/>
    </row>
    <row r="1327" spans="2:21" x14ac:dyDescent="0.25">
      <c r="B1327" s="66"/>
      <c r="C1327" s="235"/>
      <c r="D1327" s="236"/>
      <c r="E1327" s="237"/>
      <c r="F1327" s="238"/>
      <c r="G1327" s="235"/>
      <c r="H1327" s="235"/>
      <c r="I1327" s="205"/>
      <c r="J1327" s="205"/>
      <c r="K1327" s="205"/>
      <c r="L1327" s="205"/>
      <c r="M1327" s="239"/>
      <c r="N1327" s="235"/>
      <c r="O1327" s="240"/>
      <c r="P1327" s="238"/>
      <c r="Q1327" s="240"/>
      <c r="R1327" s="241"/>
      <c r="S1327" s="240"/>
      <c r="T1327" s="240"/>
      <c r="U1327" s="66"/>
    </row>
    <row r="1328" spans="2:21" x14ac:dyDescent="0.25">
      <c r="B1328" s="66"/>
      <c r="C1328" s="235"/>
      <c r="D1328" s="236"/>
      <c r="E1328" s="237"/>
      <c r="F1328" s="238"/>
      <c r="G1328" s="235"/>
      <c r="H1328" s="235"/>
      <c r="I1328" s="205"/>
      <c r="J1328" s="205"/>
      <c r="K1328" s="205"/>
      <c r="L1328" s="205"/>
      <c r="M1328" s="239"/>
      <c r="N1328" s="235"/>
      <c r="O1328" s="240"/>
      <c r="P1328" s="238"/>
      <c r="Q1328" s="240"/>
      <c r="R1328" s="241"/>
      <c r="S1328" s="240"/>
      <c r="T1328" s="240"/>
      <c r="U1328" s="66"/>
    </row>
    <row r="1329" spans="2:21" x14ac:dyDescent="0.25">
      <c r="B1329" s="66"/>
      <c r="C1329" s="235"/>
      <c r="D1329" s="236"/>
      <c r="E1329" s="237"/>
      <c r="F1329" s="238"/>
      <c r="G1329" s="235"/>
      <c r="H1329" s="235"/>
      <c r="I1329" s="205"/>
      <c r="J1329" s="205"/>
      <c r="K1329" s="205"/>
      <c r="L1329" s="205"/>
      <c r="M1329" s="239"/>
      <c r="N1329" s="235"/>
      <c r="O1329" s="240"/>
      <c r="P1329" s="238"/>
      <c r="Q1329" s="240"/>
      <c r="R1329" s="241"/>
      <c r="S1329" s="240"/>
      <c r="T1329" s="240"/>
      <c r="U1329" s="66"/>
    </row>
    <row r="1330" spans="2:21" x14ac:dyDescent="0.25">
      <c r="B1330" s="66"/>
      <c r="C1330" s="235"/>
      <c r="D1330" s="236"/>
      <c r="E1330" s="237"/>
      <c r="F1330" s="238"/>
      <c r="G1330" s="235"/>
      <c r="H1330" s="235"/>
      <c r="I1330" s="205"/>
      <c r="J1330" s="205"/>
      <c r="K1330" s="205"/>
      <c r="L1330" s="205"/>
      <c r="M1330" s="239"/>
      <c r="N1330" s="235"/>
      <c r="O1330" s="240"/>
      <c r="P1330" s="238"/>
      <c r="Q1330" s="240"/>
      <c r="R1330" s="241"/>
      <c r="S1330" s="240"/>
      <c r="T1330" s="240"/>
      <c r="U1330" s="66"/>
    </row>
    <row r="1331" spans="2:21" x14ac:dyDescent="0.25">
      <c r="B1331" s="66"/>
      <c r="C1331" s="235"/>
      <c r="D1331" s="236"/>
      <c r="E1331" s="237"/>
      <c r="F1331" s="238"/>
      <c r="G1331" s="235"/>
      <c r="H1331" s="235"/>
      <c r="I1331" s="205"/>
      <c r="J1331" s="205"/>
      <c r="K1331" s="205"/>
      <c r="L1331" s="205"/>
      <c r="M1331" s="239"/>
      <c r="N1331" s="235"/>
      <c r="O1331" s="240"/>
      <c r="P1331" s="238"/>
      <c r="Q1331" s="240"/>
      <c r="R1331" s="241"/>
      <c r="S1331" s="240"/>
      <c r="T1331" s="240"/>
      <c r="U1331" s="66"/>
    </row>
    <row r="1332" spans="2:21" x14ac:dyDescent="0.25">
      <c r="B1332" s="66"/>
      <c r="C1332" s="235"/>
      <c r="D1332" s="236"/>
      <c r="E1332" s="237"/>
      <c r="F1332" s="238"/>
      <c r="G1332" s="235"/>
      <c r="H1332" s="235"/>
      <c r="I1332" s="205"/>
      <c r="J1332" s="205"/>
      <c r="K1332" s="205"/>
      <c r="L1332" s="205"/>
      <c r="M1332" s="239"/>
      <c r="N1332" s="235"/>
      <c r="O1332" s="240"/>
      <c r="P1332" s="238"/>
      <c r="Q1332" s="240"/>
      <c r="R1332" s="241"/>
      <c r="S1332" s="240"/>
      <c r="T1332" s="240"/>
      <c r="U1332" s="66"/>
    </row>
    <row r="1333" spans="2:21" x14ac:dyDescent="0.25">
      <c r="B1333" s="66"/>
      <c r="C1333" s="235"/>
      <c r="D1333" s="236"/>
      <c r="E1333" s="237"/>
      <c r="F1333" s="238"/>
      <c r="G1333" s="235"/>
      <c r="H1333" s="235"/>
      <c r="I1333" s="205"/>
      <c r="J1333" s="205"/>
      <c r="K1333" s="205"/>
      <c r="L1333" s="205"/>
      <c r="M1333" s="239"/>
      <c r="N1333" s="235"/>
      <c r="O1333" s="240"/>
      <c r="P1333" s="238"/>
      <c r="Q1333" s="240"/>
      <c r="R1333" s="241"/>
      <c r="S1333" s="240"/>
      <c r="T1333" s="240"/>
      <c r="U1333" s="66"/>
    </row>
    <row r="1334" spans="2:21" x14ac:dyDescent="0.25">
      <c r="B1334" s="66"/>
      <c r="C1334" s="235"/>
      <c r="D1334" s="236"/>
      <c r="E1334" s="237"/>
      <c r="F1334" s="238"/>
      <c r="G1334" s="235"/>
      <c r="H1334" s="235"/>
      <c r="I1334" s="205"/>
      <c r="J1334" s="205"/>
      <c r="K1334" s="205"/>
      <c r="L1334" s="205"/>
      <c r="M1334" s="239"/>
      <c r="N1334" s="235"/>
      <c r="O1334" s="240"/>
      <c r="P1334" s="238"/>
      <c r="Q1334" s="240"/>
      <c r="R1334" s="241"/>
      <c r="S1334" s="240"/>
      <c r="T1334" s="240"/>
      <c r="U1334" s="66"/>
    </row>
    <row r="1335" spans="2:21" x14ac:dyDescent="0.25">
      <c r="B1335" s="66"/>
      <c r="C1335" s="235"/>
      <c r="D1335" s="236"/>
      <c r="E1335" s="237"/>
      <c r="F1335" s="238"/>
      <c r="G1335" s="235"/>
      <c r="H1335" s="235"/>
      <c r="I1335" s="205"/>
      <c r="J1335" s="205"/>
      <c r="K1335" s="205"/>
      <c r="L1335" s="205"/>
      <c r="M1335" s="239"/>
      <c r="N1335" s="235"/>
      <c r="O1335" s="240"/>
      <c r="P1335" s="238"/>
      <c r="Q1335" s="240"/>
      <c r="R1335" s="241"/>
      <c r="S1335" s="240"/>
      <c r="T1335" s="240"/>
      <c r="U1335" s="66"/>
    </row>
    <row r="1336" spans="2:21" x14ac:dyDescent="0.25">
      <c r="B1336" s="66"/>
      <c r="C1336" s="235"/>
      <c r="D1336" s="236"/>
      <c r="E1336" s="237"/>
      <c r="F1336" s="238"/>
      <c r="G1336" s="235"/>
      <c r="H1336" s="235"/>
      <c r="I1336" s="205"/>
      <c r="J1336" s="205"/>
      <c r="K1336" s="205"/>
      <c r="L1336" s="205"/>
      <c r="M1336" s="239"/>
      <c r="N1336" s="235"/>
      <c r="O1336" s="240"/>
      <c r="P1336" s="238"/>
      <c r="Q1336" s="240"/>
      <c r="R1336" s="241"/>
      <c r="S1336" s="240"/>
      <c r="T1336" s="240"/>
      <c r="U1336" s="66"/>
    </row>
    <row r="1337" spans="2:21" x14ac:dyDescent="0.25">
      <c r="B1337" s="66"/>
      <c r="C1337" s="235"/>
      <c r="D1337" s="236"/>
      <c r="E1337" s="237"/>
      <c r="F1337" s="238"/>
      <c r="G1337" s="235"/>
      <c r="H1337" s="235"/>
      <c r="I1337" s="205"/>
      <c r="J1337" s="205"/>
      <c r="K1337" s="205"/>
      <c r="L1337" s="205"/>
      <c r="M1337" s="239"/>
      <c r="N1337" s="235"/>
      <c r="O1337" s="240"/>
      <c r="P1337" s="238"/>
      <c r="Q1337" s="240"/>
      <c r="R1337" s="241"/>
      <c r="S1337" s="240"/>
      <c r="T1337" s="240"/>
      <c r="U1337" s="66"/>
    </row>
    <row r="1338" spans="2:21" x14ac:dyDescent="0.25">
      <c r="B1338" s="66"/>
      <c r="C1338" s="235"/>
      <c r="D1338" s="236"/>
      <c r="E1338" s="237"/>
      <c r="F1338" s="238"/>
      <c r="G1338" s="235"/>
      <c r="H1338" s="235"/>
      <c r="I1338" s="205"/>
      <c r="J1338" s="205"/>
      <c r="K1338" s="205"/>
      <c r="L1338" s="205"/>
      <c r="M1338" s="239"/>
      <c r="N1338" s="235"/>
      <c r="O1338" s="240"/>
      <c r="P1338" s="238"/>
      <c r="Q1338" s="240"/>
      <c r="R1338" s="241"/>
      <c r="S1338" s="240"/>
      <c r="T1338" s="240"/>
      <c r="U1338" s="66"/>
    </row>
    <row r="1339" spans="2:21" x14ac:dyDescent="0.25">
      <c r="B1339" s="66"/>
      <c r="C1339" s="235"/>
      <c r="D1339" s="236"/>
      <c r="E1339" s="237"/>
      <c r="F1339" s="238"/>
      <c r="G1339" s="235"/>
      <c r="H1339" s="235"/>
      <c r="I1339" s="205"/>
      <c r="J1339" s="205"/>
      <c r="K1339" s="205"/>
      <c r="L1339" s="205"/>
      <c r="M1339" s="239"/>
      <c r="N1339" s="235"/>
      <c r="O1339" s="240"/>
      <c r="P1339" s="238"/>
      <c r="Q1339" s="240"/>
      <c r="R1339" s="241"/>
      <c r="S1339" s="240"/>
      <c r="T1339" s="240"/>
      <c r="U1339" s="66"/>
    </row>
    <row r="1340" spans="2:21" x14ac:dyDescent="0.25">
      <c r="B1340" s="66"/>
      <c r="C1340" s="235"/>
      <c r="D1340" s="236"/>
      <c r="E1340" s="237"/>
      <c r="F1340" s="238"/>
      <c r="G1340" s="235"/>
      <c r="H1340" s="235"/>
      <c r="I1340" s="205"/>
      <c r="J1340" s="205"/>
      <c r="K1340" s="205"/>
      <c r="L1340" s="205"/>
      <c r="M1340" s="239"/>
      <c r="N1340" s="235"/>
      <c r="O1340" s="240"/>
      <c r="P1340" s="238"/>
      <c r="Q1340" s="240"/>
      <c r="R1340" s="241"/>
      <c r="S1340" s="240"/>
      <c r="T1340" s="240"/>
      <c r="U1340" s="66"/>
    </row>
    <row r="1341" spans="2:21" x14ac:dyDescent="0.25">
      <c r="B1341" s="66"/>
      <c r="C1341" s="235"/>
      <c r="D1341" s="236"/>
      <c r="E1341" s="237"/>
      <c r="F1341" s="238"/>
      <c r="G1341" s="235"/>
      <c r="H1341" s="235"/>
      <c r="I1341" s="205"/>
      <c r="J1341" s="205"/>
      <c r="K1341" s="205"/>
      <c r="L1341" s="205"/>
      <c r="M1341" s="239"/>
      <c r="N1341" s="235"/>
      <c r="O1341" s="240"/>
      <c r="P1341" s="238"/>
      <c r="Q1341" s="240"/>
      <c r="R1341" s="241"/>
      <c r="S1341" s="240"/>
      <c r="T1341" s="240"/>
      <c r="U1341" s="66"/>
    </row>
    <row r="1342" spans="2:21" x14ac:dyDescent="0.25">
      <c r="B1342" s="66"/>
      <c r="C1342" s="235"/>
      <c r="D1342" s="236"/>
      <c r="E1342" s="237"/>
      <c r="F1342" s="238"/>
      <c r="G1342" s="235"/>
      <c r="H1342" s="235"/>
      <c r="I1342" s="205"/>
      <c r="J1342" s="205"/>
      <c r="K1342" s="205"/>
      <c r="L1342" s="205"/>
      <c r="M1342" s="239"/>
      <c r="N1342" s="235"/>
      <c r="O1342" s="240"/>
      <c r="P1342" s="238"/>
      <c r="Q1342" s="240"/>
      <c r="R1342" s="241"/>
      <c r="S1342" s="240"/>
      <c r="T1342" s="240"/>
      <c r="U1342" s="66"/>
    </row>
    <row r="1343" spans="2:21" x14ac:dyDescent="0.25">
      <c r="B1343" s="66"/>
      <c r="C1343" s="235"/>
      <c r="D1343" s="236"/>
      <c r="E1343" s="237"/>
      <c r="F1343" s="238"/>
      <c r="G1343" s="235"/>
      <c r="H1343" s="235"/>
      <c r="I1343" s="205"/>
      <c r="J1343" s="205"/>
      <c r="K1343" s="205"/>
      <c r="L1343" s="205"/>
      <c r="M1343" s="239"/>
      <c r="N1343" s="235"/>
      <c r="O1343" s="240"/>
      <c r="P1343" s="238"/>
      <c r="Q1343" s="240"/>
      <c r="R1343" s="241"/>
      <c r="S1343" s="240"/>
      <c r="T1343" s="240"/>
      <c r="U1343" s="66"/>
    </row>
    <row r="1344" spans="2:21" x14ac:dyDescent="0.25">
      <c r="B1344" s="66"/>
      <c r="C1344" s="235"/>
      <c r="D1344" s="236"/>
      <c r="E1344" s="237"/>
      <c r="F1344" s="238"/>
      <c r="G1344" s="235"/>
      <c r="H1344" s="235"/>
      <c r="I1344" s="205"/>
      <c r="J1344" s="205"/>
      <c r="K1344" s="205"/>
      <c r="L1344" s="205"/>
      <c r="M1344" s="239"/>
      <c r="N1344" s="235"/>
      <c r="O1344" s="240"/>
      <c r="P1344" s="238"/>
      <c r="Q1344" s="240"/>
      <c r="R1344" s="241"/>
      <c r="S1344" s="240"/>
      <c r="T1344" s="240"/>
      <c r="U1344" s="66"/>
    </row>
    <row r="1345" spans="2:21" x14ac:dyDescent="0.25">
      <c r="B1345" s="66"/>
      <c r="C1345" s="235"/>
      <c r="D1345" s="236"/>
      <c r="E1345" s="237"/>
      <c r="F1345" s="238"/>
      <c r="G1345" s="235"/>
      <c r="H1345" s="235"/>
      <c r="I1345" s="205"/>
      <c r="J1345" s="205"/>
      <c r="K1345" s="205"/>
      <c r="L1345" s="205"/>
      <c r="M1345" s="239"/>
      <c r="N1345" s="235"/>
      <c r="O1345" s="240"/>
      <c r="P1345" s="238"/>
      <c r="Q1345" s="240"/>
      <c r="R1345" s="241"/>
      <c r="S1345" s="240"/>
      <c r="T1345" s="240"/>
      <c r="U1345" s="66"/>
    </row>
    <row r="1346" spans="2:21" x14ac:dyDescent="0.25">
      <c r="B1346" s="66"/>
      <c r="C1346" s="235"/>
      <c r="D1346" s="236"/>
      <c r="E1346" s="237"/>
      <c r="F1346" s="238"/>
      <c r="G1346" s="235"/>
      <c r="H1346" s="235"/>
      <c r="I1346" s="205"/>
      <c r="J1346" s="205"/>
      <c r="K1346" s="205"/>
      <c r="L1346" s="205"/>
      <c r="M1346" s="239"/>
      <c r="N1346" s="235"/>
      <c r="O1346" s="240"/>
      <c r="P1346" s="238"/>
      <c r="Q1346" s="240"/>
      <c r="R1346" s="241"/>
      <c r="S1346" s="240"/>
      <c r="T1346" s="240"/>
      <c r="U1346" s="66"/>
    </row>
    <row r="1347" spans="2:21" x14ac:dyDescent="0.25">
      <c r="B1347" s="66"/>
      <c r="C1347" s="235"/>
      <c r="D1347" s="236"/>
      <c r="E1347" s="237"/>
      <c r="F1347" s="238"/>
      <c r="G1347" s="235"/>
      <c r="H1347" s="235"/>
      <c r="I1347" s="205"/>
      <c r="J1347" s="205"/>
      <c r="K1347" s="205"/>
      <c r="L1347" s="205"/>
      <c r="M1347" s="239"/>
      <c r="N1347" s="235"/>
      <c r="O1347" s="240"/>
      <c r="P1347" s="238"/>
      <c r="Q1347" s="240"/>
      <c r="R1347" s="241"/>
      <c r="S1347" s="240"/>
      <c r="T1347" s="240"/>
      <c r="U1347" s="66"/>
    </row>
    <row r="1348" spans="2:21" x14ac:dyDescent="0.25">
      <c r="B1348" s="66"/>
      <c r="C1348" s="235"/>
      <c r="D1348" s="236"/>
      <c r="E1348" s="237"/>
      <c r="F1348" s="238"/>
      <c r="G1348" s="235"/>
      <c r="H1348" s="235"/>
      <c r="I1348" s="205"/>
      <c r="J1348" s="205"/>
      <c r="K1348" s="205"/>
      <c r="L1348" s="205"/>
      <c r="M1348" s="239"/>
      <c r="N1348" s="235"/>
      <c r="O1348" s="240"/>
      <c r="P1348" s="238"/>
      <c r="Q1348" s="240"/>
      <c r="R1348" s="241"/>
      <c r="S1348" s="240"/>
      <c r="T1348" s="240"/>
      <c r="U1348" s="66"/>
    </row>
    <row r="1349" spans="2:21" x14ac:dyDescent="0.25">
      <c r="B1349" s="66"/>
      <c r="C1349" s="235"/>
      <c r="D1349" s="236"/>
      <c r="E1349" s="237"/>
      <c r="F1349" s="238"/>
      <c r="G1349" s="235"/>
      <c r="H1349" s="235"/>
      <c r="I1349" s="205"/>
      <c r="J1349" s="205"/>
      <c r="K1349" s="205"/>
      <c r="L1349" s="205"/>
      <c r="M1349" s="239"/>
      <c r="N1349" s="235"/>
      <c r="O1349" s="240"/>
      <c r="P1349" s="238"/>
      <c r="Q1349" s="240"/>
      <c r="R1349" s="241"/>
      <c r="S1349" s="240"/>
      <c r="T1349" s="240"/>
      <c r="U1349" s="66"/>
    </row>
    <row r="1350" spans="2:21" x14ac:dyDescent="0.25">
      <c r="B1350" s="66"/>
      <c r="C1350" s="235"/>
      <c r="D1350" s="236"/>
      <c r="E1350" s="237"/>
      <c r="F1350" s="238"/>
      <c r="G1350" s="235"/>
      <c r="H1350" s="235"/>
      <c r="I1350" s="205"/>
      <c r="J1350" s="205"/>
      <c r="K1350" s="205"/>
      <c r="L1350" s="205"/>
      <c r="M1350" s="239"/>
      <c r="N1350" s="235"/>
      <c r="O1350" s="240"/>
      <c r="P1350" s="238"/>
      <c r="Q1350" s="240"/>
      <c r="R1350" s="241"/>
      <c r="S1350" s="240"/>
      <c r="T1350" s="240"/>
      <c r="U1350" s="66"/>
    </row>
    <row r="1351" spans="2:21" x14ac:dyDescent="0.25">
      <c r="B1351" s="66"/>
      <c r="C1351" s="235"/>
      <c r="D1351" s="236"/>
      <c r="E1351" s="237"/>
      <c r="F1351" s="238"/>
      <c r="G1351" s="235"/>
      <c r="H1351" s="235"/>
      <c r="I1351" s="205"/>
      <c r="J1351" s="205"/>
      <c r="K1351" s="205"/>
      <c r="L1351" s="205"/>
      <c r="M1351" s="239"/>
      <c r="N1351" s="235"/>
      <c r="O1351" s="240"/>
      <c r="P1351" s="238"/>
      <c r="Q1351" s="240"/>
      <c r="R1351" s="241"/>
      <c r="S1351" s="240"/>
      <c r="T1351" s="240"/>
      <c r="U1351" s="66"/>
    </row>
    <row r="1352" spans="2:21" x14ac:dyDescent="0.25">
      <c r="B1352" s="66"/>
      <c r="C1352" s="235"/>
      <c r="D1352" s="236"/>
      <c r="E1352" s="237"/>
      <c r="F1352" s="238"/>
      <c r="G1352" s="235"/>
      <c r="H1352" s="235"/>
      <c r="I1352" s="205"/>
      <c r="J1352" s="205"/>
      <c r="K1352" s="205"/>
      <c r="L1352" s="205"/>
      <c r="M1352" s="239"/>
      <c r="N1352" s="235"/>
      <c r="O1352" s="240"/>
      <c r="P1352" s="238"/>
      <c r="Q1352" s="240"/>
      <c r="R1352" s="241"/>
      <c r="S1352" s="240"/>
      <c r="T1352" s="240"/>
      <c r="U1352" s="66"/>
    </row>
    <row r="1353" spans="2:21" x14ac:dyDescent="0.25">
      <c r="B1353" s="66"/>
      <c r="C1353" s="235"/>
      <c r="D1353" s="236"/>
      <c r="E1353" s="237"/>
      <c r="F1353" s="238"/>
      <c r="G1353" s="235"/>
      <c r="H1353" s="235"/>
      <c r="I1353" s="205"/>
      <c r="J1353" s="205"/>
      <c r="K1353" s="205"/>
      <c r="L1353" s="205"/>
      <c r="M1353" s="239"/>
      <c r="N1353" s="235"/>
      <c r="O1353" s="240"/>
      <c r="P1353" s="238"/>
      <c r="Q1353" s="240"/>
      <c r="R1353" s="241"/>
      <c r="S1353" s="240"/>
      <c r="T1353" s="240"/>
      <c r="U1353" s="66"/>
    </row>
    <row r="1354" spans="2:21" x14ac:dyDescent="0.25">
      <c r="B1354" s="66"/>
      <c r="C1354" s="235"/>
      <c r="D1354" s="236"/>
      <c r="E1354" s="237"/>
      <c r="F1354" s="238"/>
      <c r="G1354" s="235"/>
      <c r="H1354" s="235"/>
      <c r="I1354" s="205"/>
      <c r="J1354" s="205"/>
      <c r="K1354" s="205"/>
      <c r="L1354" s="205"/>
      <c r="M1354" s="239"/>
      <c r="N1354" s="235"/>
      <c r="O1354" s="240"/>
      <c r="P1354" s="238"/>
      <c r="Q1354" s="240"/>
      <c r="R1354" s="241"/>
      <c r="S1354" s="240"/>
      <c r="T1354" s="240"/>
      <c r="U1354" s="66"/>
    </row>
    <row r="1355" spans="2:21" x14ac:dyDescent="0.25">
      <c r="B1355" s="66"/>
      <c r="C1355" s="235"/>
      <c r="D1355" s="236"/>
      <c r="E1355" s="237"/>
      <c r="F1355" s="238"/>
      <c r="G1355" s="235"/>
      <c r="H1355" s="235"/>
      <c r="I1355" s="205"/>
      <c r="J1355" s="205"/>
      <c r="K1355" s="205"/>
      <c r="L1355" s="205"/>
      <c r="M1355" s="239"/>
      <c r="N1355" s="235"/>
      <c r="O1355" s="240"/>
      <c r="P1355" s="238"/>
      <c r="Q1355" s="240"/>
      <c r="R1355" s="241"/>
      <c r="S1355" s="240"/>
      <c r="T1355" s="240"/>
      <c r="U1355" s="66"/>
    </row>
    <row r="1356" spans="2:21" x14ac:dyDescent="0.25">
      <c r="B1356" s="66"/>
      <c r="C1356" s="235"/>
      <c r="D1356" s="236"/>
      <c r="E1356" s="237"/>
      <c r="F1356" s="238"/>
      <c r="G1356" s="235"/>
      <c r="H1356" s="235"/>
      <c r="I1356" s="205"/>
      <c r="J1356" s="205"/>
      <c r="K1356" s="205"/>
      <c r="L1356" s="205"/>
      <c r="M1356" s="239"/>
      <c r="N1356" s="235"/>
      <c r="O1356" s="240"/>
      <c r="P1356" s="238"/>
      <c r="Q1356" s="240"/>
      <c r="R1356" s="241"/>
      <c r="S1356" s="240"/>
      <c r="T1356" s="240"/>
      <c r="U1356" s="66"/>
    </row>
    <row r="1357" spans="2:21" x14ac:dyDescent="0.25">
      <c r="B1357" s="66"/>
      <c r="C1357" s="235"/>
      <c r="D1357" s="236"/>
      <c r="E1357" s="237"/>
      <c r="F1357" s="238"/>
      <c r="G1357" s="235"/>
      <c r="H1357" s="235"/>
      <c r="I1357" s="205"/>
      <c r="J1357" s="205"/>
      <c r="K1357" s="205"/>
      <c r="L1357" s="205"/>
      <c r="M1357" s="239"/>
      <c r="N1357" s="235"/>
      <c r="O1357" s="240"/>
      <c r="P1357" s="238"/>
      <c r="Q1357" s="240"/>
      <c r="R1357" s="241"/>
      <c r="S1357" s="240"/>
      <c r="T1357" s="240"/>
      <c r="U1357" s="66"/>
    </row>
    <row r="1358" spans="2:21" x14ac:dyDescent="0.25">
      <c r="B1358" s="66"/>
      <c r="C1358" s="235"/>
      <c r="D1358" s="236"/>
      <c r="E1358" s="237"/>
      <c r="F1358" s="238"/>
      <c r="G1358" s="235"/>
      <c r="H1358" s="235"/>
      <c r="I1358" s="205"/>
      <c r="J1358" s="205"/>
      <c r="K1358" s="205"/>
      <c r="L1358" s="205"/>
      <c r="M1358" s="239"/>
      <c r="N1358" s="235"/>
      <c r="O1358" s="240"/>
      <c r="P1358" s="238"/>
      <c r="Q1358" s="240"/>
      <c r="R1358" s="241"/>
      <c r="S1358" s="240"/>
      <c r="T1358" s="240"/>
      <c r="U1358" s="66"/>
    </row>
    <row r="1359" spans="2:21" x14ac:dyDescent="0.25">
      <c r="B1359" s="66"/>
      <c r="C1359" s="235"/>
      <c r="D1359" s="236"/>
      <c r="E1359" s="237"/>
      <c r="F1359" s="238"/>
      <c r="G1359" s="235"/>
      <c r="H1359" s="235"/>
      <c r="I1359" s="205"/>
      <c r="J1359" s="205"/>
      <c r="K1359" s="205"/>
      <c r="L1359" s="205"/>
      <c r="M1359" s="239"/>
      <c r="N1359" s="235"/>
      <c r="O1359" s="240"/>
      <c r="P1359" s="238"/>
      <c r="Q1359" s="240"/>
      <c r="R1359" s="241"/>
      <c r="S1359" s="240"/>
      <c r="T1359" s="240"/>
      <c r="U1359" s="66"/>
    </row>
    <row r="1360" spans="2:21" x14ac:dyDescent="0.25">
      <c r="B1360" s="66"/>
      <c r="C1360" s="235"/>
      <c r="D1360" s="236"/>
      <c r="E1360" s="237"/>
      <c r="F1360" s="238"/>
      <c r="G1360" s="235"/>
      <c r="H1360" s="235"/>
      <c r="I1360" s="205"/>
      <c r="J1360" s="205"/>
      <c r="K1360" s="205"/>
      <c r="L1360" s="205"/>
      <c r="M1360" s="239"/>
      <c r="N1360" s="235"/>
      <c r="O1360" s="240"/>
      <c r="P1360" s="238"/>
      <c r="Q1360" s="240"/>
      <c r="R1360" s="241"/>
      <c r="S1360" s="240"/>
      <c r="T1360" s="240"/>
      <c r="U1360" s="66"/>
    </row>
    <row r="1361" spans="2:21" x14ac:dyDescent="0.25">
      <c r="B1361" s="66"/>
      <c r="C1361" s="235"/>
      <c r="D1361" s="236"/>
      <c r="E1361" s="237"/>
      <c r="F1361" s="238"/>
      <c r="G1361" s="235"/>
      <c r="H1361" s="235"/>
      <c r="I1361" s="205"/>
      <c r="J1361" s="205"/>
      <c r="K1361" s="205"/>
      <c r="L1361" s="205"/>
      <c r="M1361" s="239"/>
      <c r="N1361" s="235"/>
      <c r="O1361" s="240"/>
      <c r="P1361" s="238"/>
      <c r="Q1361" s="240"/>
      <c r="R1361" s="241"/>
      <c r="S1361" s="240"/>
      <c r="T1361" s="240"/>
      <c r="U1361" s="66"/>
    </row>
    <row r="1362" spans="2:21" x14ac:dyDescent="0.25">
      <c r="B1362" s="66"/>
      <c r="C1362" s="235"/>
      <c r="D1362" s="236"/>
      <c r="E1362" s="237"/>
      <c r="F1362" s="238"/>
      <c r="G1362" s="235"/>
      <c r="H1362" s="235"/>
      <c r="I1362" s="205"/>
      <c r="J1362" s="205"/>
      <c r="K1362" s="205"/>
      <c r="L1362" s="205"/>
      <c r="M1362" s="239"/>
      <c r="N1362" s="235"/>
      <c r="O1362" s="240"/>
      <c r="P1362" s="238"/>
      <c r="Q1362" s="240"/>
      <c r="R1362" s="241"/>
      <c r="S1362" s="240"/>
      <c r="T1362" s="240"/>
      <c r="U1362" s="66"/>
    </row>
    <row r="1363" spans="2:21" x14ac:dyDescent="0.25">
      <c r="B1363" s="66"/>
      <c r="C1363" s="235"/>
      <c r="D1363" s="236"/>
      <c r="E1363" s="237"/>
      <c r="F1363" s="238"/>
      <c r="G1363" s="235"/>
      <c r="H1363" s="235"/>
      <c r="I1363" s="205"/>
      <c r="J1363" s="205"/>
      <c r="K1363" s="205"/>
      <c r="L1363" s="205"/>
      <c r="M1363" s="239"/>
      <c r="N1363" s="235"/>
      <c r="O1363" s="240"/>
      <c r="P1363" s="238"/>
      <c r="Q1363" s="240"/>
      <c r="R1363" s="241"/>
      <c r="S1363" s="240"/>
      <c r="T1363" s="240"/>
      <c r="U1363" s="66"/>
    </row>
    <row r="1364" spans="2:21" x14ac:dyDescent="0.25">
      <c r="B1364" s="66"/>
      <c r="C1364" s="235"/>
      <c r="D1364" s="236"/>
      <c r="E1364" s="237"/>
      <c r="F1364" s="238"/>
      <c r="G1364" s="235"/>
      <c r="H1364" s="235"/>
      <c r="I1364" s="205"/>
      <c r="J1364" s="205"/>
      <c r="K1364" s="205"/>
      <c r="L1364" s="205"/>
      <c r="M1364" s="239"/>
      <c r="N1364" s="235"/>
      <c r="O1364" s="240"/>
      <c r="P1364" s="238"/>
      <c r="Q1364" s="240"/>
      <c r="R1364" s="241"/>
      <c r="S1364" s="240"/>
      <c r="T1364" s="240"/>
      <c r="U1364" s="66"/>
    </row>
    <row r="1365" spans="2:21" x14ac:dyDescent="0.25">
      <c r="B1365" s="66"/>
      <c r="C1365" s="235"/>
      <c r="D1365" s="236"/>
      <c r="E1365" s="237"/>
      <c r="F1365" s="238"/>
      <c r="G1365" s="235"/>
      <c r="H1365" s="235"/>
      <c r="I1365" s="205"/>
      <c r="J1365" s="205"/>
      <c r="K1365" s="205"/>
      <c r="L1365" s="205"/>
      <c r="M1365" s="239"/>
      <c r="N1365" s="235"/>
      <c r="O1365" s="240"/>
      <c r="P1365" s="238"/>
      <c r="Q1365" s="240"/>
      <c r="R1365" s="241"/>
      <c r="S1365" s="240"/>
      <c r="T1365" s="240"/>
      <c r="U1365" s="66"/>
    </row>
    <row r="1366" spans="2:21" x14ac:dyDescent="0.25">
      <c r="B1366" s="66"/>
      <c r="C1366" s="235"/>
      <c r="D1366" s="236"/>
      <c r="E1366" s="237"/>
      <c r="F1366" s="238"/>
      <c r="G1366" s="235"/>
      <c r="H1366" s="235"/>
      <c r="I1366" s="205"/>
      <c r="J1366" s="205"/>
      <c r="K1366" s="205"/>
      <c r="L1366" s="205"/>
      <c r="M1366" s="239"/>
      <c r="N1366" s="235"/>
      <c r="O1366" s="240"/>
      <c r="P1366" s="238"/>
      <c r="Q1366" s="240"/>
      <c r="R1366" s="241"/>
      <c r="S1366" s="240"/>
      <c r="T1366" s="240"/>
      <c r="U1366" s="66"/>
    </row>
    <row r="1367" spans="2:21" x14ac:dyDescent="0.25">
      <c r="B1367" s="66"/>
      <c r="C1367" s="235"/>
      <c r="D1367" s="236"/>
      <c r="E1367" s="237"/>
      <c r="F1367" s="238"/>
      <c r="G1367" s="235"/>
      <c r="H1367" s="235"/>
      <c r="I1367" s="205"/>
      <c r="J1367" s="205"/>
      <c r="K1367" s="205"/>
      <c r="L1367" s="205"/>
      <c r="M1367" s="239"/>
      <c r="N1367" s="235"/>
      <c r="O1367" s="240"/>
      <c r="P1367" s="238"/>
      <c r="Q1367" s="240"/>
      <c r="R1367" s="241"/>
      <c r="S1367" s="240"/>
      <c r="T1367" s="240"/>
      <c r="U1367" s="66"/>
    </row>
    <row r="1368" spans="2:21" x14ac:dyDescent="0.25">
      <c r="B1368" s="66"/>
      <c r="C1368" s="235"/>
      <c r="D1368" s="236"/>
      <c r="E1368" s="237"/>
      <c r="F1368" s="238"/>
      <c r="G1368" s="235"/>
      <c r="H1368" s="235"/>
      <c r="I1368" s="205"/>
      <c r="J1368" s="205"/>
      <c r="K1368" s="205"/>
      <c r="L1368" s="205"/>
      <c r="M1368" s="239"/>
      <c r="N1368" s="235"/>
      <c r="O1368" s="240"/>
      <c r="P1368" s="238"/>
      <c r="Q1368" s="240"/>
      <c r="R1368" s="241"/>
      <c r="S1368" s="240"/>
      <c r="T1368" s="240"/>
      <c r="U1368" s="66"/>
    </row>
    <row r="1369" spans="2:21" x14ac:dyDescent="0.25">
      <c r="B1369" s="66"/>
      <c r="C1369" s="235"/>
      <c r="D1369" s="236"/>
      <c r="E1369" s="237"/>
      <c r="F1369" s="238"/>
      <c r="G1369" s="235"/>
      <c r="H1369" s="235"/>
      <c r="I1369" s="205"/>
      <c r="J1369" s="205"/>
      <c r="K1369" s="205"/>
      <c r="L1369" s="205"/>
      <c r="M1369" s="239"/>
      <c r="N1369" s="235"/>
      <c r="O1369" s="240"/>
      <c r="P1369" s="238"/>
      <c r="Q1369" s="240"/>
      <c r="R1369" s="241"/>
      <c r="S1369" s="240"/>
      <c r="T1369" s="240"/>
      <c r="U1369" s="66"/>
    </row>
    <row r="1370" spans="2:21" x14ac:dyDescent="0.25">
      <c r="B1370" s="66"/>
      <c r="C1370" s="235"/>
      <c r="D1370" s="236"/>
      <c r="E1370" s="237"/>
      <c r="F1370" s="238"/>
      <c r="G1370" s="235"/>
      <c r="H1370" s="235"/>
      <c r="I1370" s="205"/>
      <c r="J1370" s="205"/>
      <c r="K1370" s="205"/>
      <c r="L1370" s="205"/>
      <c r="M1370" s="239"/>
      <c r="N1370" s="235"/>
      <c r="O1370" s="240"/>
      <c r="P1370" s="238"/>
      <c r="Q1370" s="240"/>
      <c r="R1370" s="241"/>
      <c r="S1370" s="240"/>
      <c r="T1370" s="240"/>
      <c r="U1370" s="66"/>
    </row>
    <row r="1371" spans="2:21" x14ac:dyDescent="0.25">
      <c r="B1371" s="66"/>
      <c r="C1371" s="235"/>
      <c r="D1371" s="236"/>
      <c r="E1371" s="237"/>
      <c r="F1371" s="238"/>
      <c r="G1371" s="235"/>
      <c r="H1371" s="235"/>
      <c r="I1371" s="205"/>
      <c r="J1371" s="205"/>
      <c r="K1371" s="205"/>
      <c r="L1371" s="205"/>
      <c r="M1371" s="239"/>
      <c r="N1371" s="235"/>
      <c r="O1371" s="240"/>
      <c r="P1371" s="238"/>
      <c r="Q1371" s="240"/>
      <c r="R1371" s="241"/>
      <c r="S1371" s="240"/>
      <c r="T1371" s="240"/>
      <c r="U1371" s="66"/>
    </row>
    <row r="1372" spans="2:21" x14ac:dyDescent="0.25">
      <c r="B1372" s="66"/>
      <c r="C1372" s="235"/>
      <c r="D1372" s="236"/>
      <c r="E1372" s="237"/>
      <c r="F1372" s="238"/>
      <c r="G1372" s="235"/>
      <c r="H1372" s="235"/>
      <c r="I1372" s="205"/>
      <c r="J1372" s="205"/>
      <c r="K1372" s="205"/>
      <c r="L1372" s="205"/>
      <c r="M1372" s="239"/>
      <c r="N1372" s="235"/>
      <c r="O1372" s="240"/>
      <c r="P1372" s="238"/>
      <c r="Q1372" s="240"/>
      <c r="R1372" s="241"/>
      <c r="S1372" s="240"/>
      <c r="T1372" s="240"/>
      <c r="U1372" s="66"/>
    </row>
    <row r="1373" spans="2:21" x14ac:dyDescent="0.25">
      <c r="B1373" s="66"/>
      <c r="C1373" s="235"/>
      <c r="D1373" s="236"/>
      <c r="E1373" s="237"/>
      <c r="F1373" s="238"/>
      <c r="G1373" s="235"/>
      <c r="H1373" s="235"/>
      <c r="I1373" s="205"/>
      <c r="J1373" s="205"/>
      <c r="K1373" s="205"/>
      <c r="L1373" s="205"/>
      <c r="M1373" s="239"/>
      <c r="N1373" s="235"/>
      <c r="O1373" s="240"/>
      <c r="P1373" s="238"/>
      <c r="Q1373" s="240"/>
      <c r="R1373" s="241"/>
      <c r="S1373" s="240"/>
      <c r="T1373" s="240"/>
      <c r="U1373" s="66"/>
    </row>
    <row r="1374" spans="2:21" x14ac:dyDescent="0.25">
      <c r="B1374" s="66"/>
      <c r="C1374" s="235"/>
      <c r="D1374" s="236"/>
      <c r="E1374" s="237"/>
      <c r="F1374" s="238"/>
      <c r="G1374" s="235"/>
      <c r="H1374" s="235"/>
      <c r="I1374" s="205"/>
      <c r="J1374" s="205"/>
      <c r="K1374" s="205"/>
      <c r="L1374" s="205"/>
      <c r="M1374" s="239"/>
      <c r="N1374" s="235"/>
      <c r="O1374" s="240"/>
      <c r="P1374" s="238"/>
      <c r="Q1374" s="240"/>
      <c r="R1374" s="241"/>
      <c r="S1374" s="240"/>
      <c r="T1374" s="240"/>
      <c r="U1374" s="66"/>
    </row>
    <row r="1375" spans="2:21" x14ac:dyDescent="0.25">
      <c r="B1375" s="66"/>
      <c r="C1375" s="235"/>
      <c r="D1375" s="236"/>
      <c r="E1375" s="237"/>
      <c r="F1375" s="238"/>
      <c r="G1375" s="235"/>
      <c r="H1375" s="235"/>
      <c r="I1375" s="205"/>
      <c r="J1375" s="205"/>
      <c r="K1375" s="205"/>
      <c r="L1375" s="205"/>
      <c r="M1375" s="239"/>
      <c r="N1375" s="235"/>
      <c r="O1375" s="240"/>
      <c r="P1375" s="238"/>
      <c r="Q1375" s="240"/>
      <c r="R1375" s="241"/>
      <c r="S1375" s="240"/>
      <c r="T1375" s="240"/>
      <c r="U1375" s="66"/>
    </row>
    <row r="1376" spans="2:21" x14ac:dyDescent="0.25">
      <c r="B1376" s="66"/>
      <c r="C1376" s="235"/>
      <c r="D1376" s="236"/>
      <c r="E1376" s="237"/>
      <c r="F1376" s="238"/>
      <c r="G1376" s="235"/>
      <c r="H1376" s="235"/>
      <c r="I1376" s="205"/>
      <c r="J1376" s="205"/>
      <c r="K1376" s="205"/>
      <c r="L1376" s="205"/>
      <c r="M1376" s="239"/>
      <c r="N1376" s="235"/>
      <c r="O1376" s="240"/>
      <c r="P1376" s="238"/>
      <c r="Q1376" s="240"/>
      <c r="R1376" s="241"/>
      <c r="S1376" s="240"/>
      <c r="T1376" s="240"/>
      <c r="U1376" s="66"/>
    </row>
    <row r="1377" spans="2:21" x14ac:dyDescent="0.25">
      <c r="B1377" s="66"/>
      <c r="C1377" s="235"/>
      <c r="D1377" s="236"/>
      <c r="E1377" s="237"/>
      <c r="F1377" s="238"/>
      <c r="G1377" s="235"/>
      <c r="H1377" s="235"/>
      <c r="I1377" s="205"/>
      <c r="J1377" s="205"/>
      <c r="K1377" s="205"/>
      <c r="L1377" s="205"/>
      <c r="M1377" s="239"/>
      <c r="N1377" s="235"/>
      <c r="O1377" s="240"/>
      <c r="P1377" s="238"/>
      <c r="Q1377" s="240"/>
      <c r="R1377" s="241"/>
      <c r="S1377" s="240"/>
      <c r="T1377" s="240"/>
      <c r="U1377" s="66"/>
    </row>
    <row r="1378" spans="2:21" x14ac:dyDescent="0.25">
      <c r="B1378" s="66"/>
      <c r="C1378" s="235"/>
      <c r="D1378" s="236"/>
      <c r="E1378" s="237"/>
      <c r="F1378" s="238"/>
      <c r="G1378" s="235"/>
      <c r="H1378" s="235"/>
      <c r="I1378" s="205"/>
      <c r="J1378" s="205"/>
      <c r="K1378" s="205"/>
      <c r="L1378" s="205"/>
      <c r="M1378" s="239"/>
      <c r="N1378" s="235"/>
      <c r="O1378" s="240"/>
      <c r="P1378" s="238"/>
      <c r="Q1378" s="240"/>
      <c r="R1378" s="241"/>
      <c r="S1378" s="240"/>
      <c r="T1378" s="240"/>
      <c r="U1378" s="66"/>
    </row>
    <row r="1379" spans="2:21" x14ac:dyDescent="0.25">
      <c r="B1379" s="66"/>
      <c r="C1379" s="235"/>
      <c r="D1379" s="236"/>
      <c r="E1379" s="237"/>
      <c r="F1379" s="238"/>
      <c r="G1379" s="235"/>
      <c r="H1379" s="235"/>
      <c r="I1379" s="205"/>
      <c r="J1379" s="205"/>
      <c r="K1379" s="205"/>
      <c r="L1379" s="205"/>
      <c r="M1379" s="239"/>
      <c r="N1379" s="235"/>
      <c r="O1379" s="240"/>
      <c r="P1379" s="238"/>
      <c r="Q1379" s="240"/>
      <c r="R1379" s="241"/>
      <c r="S1379" s="240"/>
      <c r="T1379" s="240"/>
      <c r="U1379" s="66"/>
    </row>
    <row r="1380" spans="2:21" x14ac:dyDescent="0.25">
      <c r="B1380" s="66"/>
      <c r="C1380" s="235"/>
      <c r="D1380" s="236"/>
      <c r="E1380" s="237"/>
      <c r="F1380" s="238"/>
      <c r="G1380" s="235"/>
      <c r="H1380" s="235"/>
      <c r="I1380" s="205"/>
      <c r="J1380" s="205"/>
      <c r="K1380" s="205"/>
      <c r="L1380" s="205"/>
      <c r="M1380" s="239"/>
      <c r="N1380" s="235"/>
      <c r="O1380" s="240"/>
      <c r="P1380" s="238"/>
      <c r="Q1380" s="240"/>
      <c r="R1380" s="241"/>
      <c r="S1380" s="240"/>
      <c r="T1380" s="240"/>
      <c r="U1380" s="66"/>
    </row>
    <row r="1381" spans="2:21" x14ac:dyDescent="0.25">
      <c r="B1381" s="66"/>
      <c r="C1381" s="235"/>
      <c r="D1381" s="236"/>
      <c r="E1381" s="237"/>
      <c r="F1381" s="238"/>
      <c r="G1381" s="235"/>
      <c r="H1381" s="235"/>
      <c r="I1381" s="205"/>
      <c r="J1381" s="205"/>
      <c r="K1381" s="205"/>
      <c r="L1381" s="205"/>
      <c r="M1381" s="239"/>
      <c r="N1381" s="235"/>
      <c r="O1381" s="240"/>
      <c r="P1381" s="238"/>
      <c r="Q1381" s="240"/>
      <c r="R1381" s="241"/>
      <c r="S1381" s="240"/>
      <c r="T1381" s="240"/>
      <c r="U1381" s="66"/>
    </row>
    <row r="1382" spans="2:21" x14ac:dyDescent="0.25">
      <c r="B1382" s="66"/>
      <c r="C1382" s="235"/>
      <c r="D1382" s="236"/>
      <c r="E1382" s="237"/>
      <c r="F1382" s="238"/>
      <c r="G1382" s="235"/>
      <c r="H1382" s="235"/>
      <c r="I1382" s="205"/>
      <c r="J1382" s="205"/>
      <c r="K1382" s="205"/>
      <c r="L1382" s="205"/>
      <c r="M1382" s="239"/>
      <c r="N1382" s="235"/>
      <c r="O1382" s="240"/>
      <c r="P1382" s="238"/>
      <c r="Q1382" s="240"/>
      <c r="R1382" s="241"/>
      <c r="S1382" s="240"/>
      <c r="T1382" s="240"/>
      <c r="U1382" s="66"/>
    </row>
    <row r="1383" spans="2:21" x14ac:dyDescent="0.25">
      <c r="B1383" s="66"/>
      <c r="C1383" s="235"/>
      <c r="D1383" s="236"/>
      <c r="E1383" s="237"/>
      <c r="F1383" s="238"/>
      <c r="G1383" s="235"/>
      <c r="H1383" s="235"/>
      <c r="I1383" s="205"/>
      <c r="J1383" s="205"/>
      <c r="K1383" s="205"/>
      <c r="L1383" s="205"/>
      <c r="M1383" s="239"/>
      <c r="N1383" s="235"/>
      <c r="O1383" s="240"/>
      <c r="P1383" s="238"/>
      <c r="Q1383" s="240"/>
      <c r="R1383" s="241"/>
      <c r="S1383" s="240"/>
      <c r="T1383" s="240"/>
      <c r="U1383" s="66"/>
    </row>
    <row r="1384" spans="2:21" x14ac:dyDescent="0.25">
      <c r="B1384" s="66"/>
      <c r="C1384" s="235"/>
      <c r="D1384" s="236"/>
      <c r="E1384" s="237"/>
      <c r="F1384" s="238"/>
      <c r="G1384" s="235"/>
      <c r="H1384" s="235"/>
      <c r="I1384" s="205"/>
      <c r="J1384" s="205"/>
      <c r="K1384" s="205"/>
      <c r="L1384" s="205"/>
      <c r="M1384" s="239"/>
      <c r="N1384" s="235"/>
      <c r="O1384" s="240"/>
      <c r="P1384" s="238"/>
      <c r="Q1384" s="240"/>
      <c r="R1384" s="241"/>
      <c r="S1384" s="240"/>
      <c r="T1384" s="240"/>
      <c r="U1384" s="66"/>
    </row>
    <row r="1385" spans="2:21" x14ac:dyDescent="0.25">
      <c r="B1385" s="66"/>
      <c r="C1385" s="235"/>
      <c r="D1385" s="236"/>
      <c r="E1385" s="237"/>
      <c r="F1385" s="238"/>
      <c r="G1385" s="235"/>
      <c r="H1385" s="235"/>
      <c r="I1385" s="205"/>
      <c r="J1385" s="205"/>
      <c r="K1385" s="205"/>
      <c r="L1385" s="205"/>
      <c r="M1385" s="239"/>
      <c r="N1385" s="235"/>
      <c r="O1385" s="240"/>
      <c r="P1385" s="238"/>
      <c r="Q1385" s="240"/>
      <c r="R1385" s="241"/>
      <c r="S1385" s="240"/>
      <c r="T1385" s="240"/>
      <c r="U1385" s="66"/>
    </row>
    <row r="1386" spans="2:21" x14ac:dyDescent="0.25">
      <c r="B1386" s="66"/>
      <c r="C1386" s="235"/>
      <c r="D1386" s="236"/>
      <c r="E1386" s="237"/>
      <c r="F1386" s="238"/>
      <c r="G1386" s="235"/>
      <c r="H1386" s="235"/>
      <c r="I1386" s="205"/>
      <c r="J1386" s="205"/>
      <c r="K1386" s="205"/>
      <c r="L1386" s="205"/>
      <c r="M1386" s="239"/>
      <c r="N1386" s="235"/>
      <c r="O1386" s="240"/>
      <c r="P1386" s="238"/>
      <c r="Q1386" s="240"/>
      <c r="R1386" s="241"/>
      <c r="S1386" s="240"/>
      <c r="T1386" s="240"/>
      <c r="U1386" s="66"/>
    </row>
    <row r="1387" spans="2:21" x14ac:dyDescent="0.25">
      <c r="B1387" s="66"/>
      <c r="C1387" s="235"/>
      <c r="D1387" s="236"/>
      <c r="E1387" s="237"/>
      <c r="F1387" s="238"/>
      <c r="G1387" s="235"/>
      <c r="H1387" s="235"/>
      <c r="I1387" s="205"/>
      <c r="J1387" s="205"/>
      <c r="K1387" s="205"/>
      <c r="L1387" s="205"/>
      <c r="M1387" s="239"/>
      <c r="N1387" s="235"/>
      <c r="O1387" s="240"/>
      <c r="P1387" s="238"/>
      <c r="Q1387" s="240"/>
      <c r="R1387" s="241"/>
      <c r="S1387" s="240"/>
      <c r="T1387" s="240"/>
      <c r="U1387" s="66"/>
    </row>
    <row r="1388" spans="2:21" x14ac:dyDescent="0.25">
      <c r="B1388" s="66"/>
      <c r="C1388" s="235"/>
      <c r="D1388" s="236"/>
      <c r="E1388" s="237"/>
      <c r="F1388" s="238"/>
      <c r="G1388" s="235"/>
      <c r="H1388" s="235"/>
      <c r="I1388" s="205"/>
      <c r="J1388" s="205"/>
      <c r="K1388" s="205"/>
      <c r="L1388" s="205"/>
      <c r="M1388" s="239"/>
      <c r="N1388" s="235"/>
      <c r="O1388" s="240"/>
      <c r="P1388" s="238"/>
      <c r="Q1388" s="240"/>
      <c r="R1388" s="241"/>
      <c r="S1388" s="240"/>
      <c r="T1388" s="240"/>
      <c r="U1388" s="66"/>
    </row>
    <row r="1389" spans="2:21" x14ac:dyDescent="0.25">
      <c r="B1389" s="66"/>
      <c r="C1389" s="235"/>
      <c r="D1389" s="236"/>
      <c r="E1389" s="237"/>
      <c r="F1389" s="238"/>
      <c r="G1389" s="235"/>
      <c r="H1389" s="235"/>
      <c r="I1389" s="205"/>
      <c r="J1389" s="205"/>
      <c r="K1389" s="205"/>
      <c r="L1389" s="205"/>
      <c r="M1389" s="239"/>
      <c r="N1389" s="235"/>
      <c r="O1389" s="240"/>
      <c r="P1389" s="238"/>
      <c r="Q1389" s="240"/>
      <c r="R1389" s="241"/>
      <c r="S1389" s="240"/>
      <c r="T1389" s="240"/>
      <c r="U1389" s="66"/>
    </row>
    <row r="1390" spans="2:21" x14ac:dyDescent="0.25">
      <c r="B1390" s="66"/>
      <c r="C1390" s="235"/>
      <c r="D1390" s="236"/>
      <c r="E1390" s="237"/>
      <c r="F1390" s="238"/>
      <c r="G1390" s="235"/>
      <c r="H1390" s="235"/>
      <c r="I1390" s="205"/>
      <c r="J1390" s="205"/>
      <c r="K1390" s="205"/>
      <c r="L1390" s="205"/>
      <c r="M1390" s="239"/>
      <c r="N1390" s="235"/>
      <c r="O1390" s="240"/>
      <c r="P1390" s="238"/>
      <c r="Q1390" s="240"/>
      <c r="R1390" s="241"/>
      <c r="S1390" s="240"/>
      <c r="T1390" s="240"/>
      <c r="U1390" s="66"/>
    </row>
    <row r="1391" spans="2:21" x14ac:dyDescent="0.25">
      <c r="B1391" s="66"/>
      <c r="C1391" s="235"/>
      <c r="D1391" s="236"/>
      <c r="E1391" s="237"/>
      <c r="F1391" s="238"/>
      <c r="G1391" s="235"/>
      <c r="H1391" s="235"/>
      <c r="I1391" s="205"/>
      <c r="J1391" s="205"/>
      <c r="K1391" s="205"/>
      <c r="L1391" s="205"/>
      <c r="M1391" s="239"/>
      <c r="N1391" s="235"/>
      <c r="O1391" s="240"/>
      <c r="P1391" s="238"/>
      <c r="Q1391" s="240"/>
      <c r="R1391" s="241"/>
      <c r="S1391" s="240"/>
      <c r="T1391" s="240"/>
      <c r="U1391" s="66"/>
    </row>
    <row r="1392" spans="2:21" x14ac:dyDescent="0.25">
      <c r="B1392" s="66"/>
      <c r="C1392" s="235"/>
      <c r="D1392" s="236"/>
      <c r="E1392" s="237"/>
      <c r="F1392" s="238"/>
      <c r="G1392" s="235"/>
      <c r="H1392" s="235"/>
      <c r="I1392" s="205"/>
      <c r="J1392" s="205"/>
      <c r="K1392" s="205"/>
      <c r="L1392" s="205"/>
      <c r="M1392" s="239"/>
      <c r="N1392" s="235"/>
      <c r="O1392" s="240"/>
      <c r="P1392" s="238"/>
      <c r="Q1392" s="240"/>
      <c r="R1392" s="241"/>
      <c r="S1392" s="240"/>
      <c r="T1392" s="240"/>
      <c r="U1392" s="66"/>
    </row>
    <row r="1393" spans="2:21" x14ac:dyDescent="0.25">
      <c r="B1393" s="66"/>
      <c r="C1393" s="235"/>
      <c r="D1393" s="236"/>
      <c r="E1393" s="237"/>
      <c r="F1393" s="238"/>
      <c r="G1393" s="235"/>
      <c r="H1393" s="235"/>
      <c r="I1393" s="205"/>
      <c r="J1393" s="205"/>
      <c r="K1393" s="205"/>
      <c r="L1393" s="205"/>
      <c r="M1393" s="239"/>
      <c r="N1393" s="235"/>
      <c r="O1393" s="240"/>
      <c r="P1393" s="238"/>
      <c r="Q1393" s="240"/>
      <c r="R1393" s="241"/>
      <c r="S1393" s="240"/>
      <c r="T1393" s="240"/>
      <c r="U1393" s="66"/>
    </row>
    <row r="1394" spans="2:21" x14ac:dyDescent="0.25">
      <c r="B1394" s="66"/>
      <c r="C1394" s="235"/>
      <c r="D1394" s="236"/>
      <c r="E1394" s="237"/>
      <c r="F1394" s="238"/>
      <c r="G1394" s="235"/>
      <c r="H1394" s="235"/>
      <c r="I1394" s="205"/>
      <c r="J1394" s="205"/>
      <c r="K1394" s="205"/>
      <c r="L1394" s="205"/>
      <c r="M1394" s="239"/>
      <c r="N1394" s="235"/>
      <c r="O1394" s="240"/>
      <c r="P1394" s="238"/>
      <c r="Q1394" s="240"/>
      <c r="R1394" s="241"/>
      <c r="S1394" s="240"/>
      <c r="T1394" s="240"/>
      <c r="U1394" s="66"/>
    </row>
    <row r="1395" spans="2:21" x14ac:dyDescent="0.25">
      <c r="B1395" s="66"/>
      <c r="C1395" s="235"/>
      <c r="D1395" s="236"/>
      <c r="E1395" s="237"/>
      <c r="F1395" s="238"/>
      <c r="G1395" s="235"/>
      <c r="H1395" s="235"/>
      <c r="I1395" s="205"/>
      <c r="J1395" s="205"/>
      <c r="K1395" s="205"/>
      <c r="L1395" s="205"/>
      <c r="M1395" s="239"/>
      <c r="N1395" s="235"/>
      <c r="O1395" s="240"/>
      <c r="P1395" s="238"/>
      <c r="Q1395" s="240"/>
      <c r="R1395" s="241"/>
      <c r="S1395" s="240"/>
      <c r="T1395" s="240"/>
      <c r="U1395" s="66"/>
    </row>
    <row r="1396" spans="2:21" x14ac:dyDescent="0.25">
      <c r="B1396" s="66"/>
      <c r="C1396" s="235"/>
      <c r="D1396" s="236"/>
      <c r="E1396" s="237"/>
      <c r="F1396" s="238"/>
      <c r="G1396" s="235"/>
      <c r="H1396" s="235"/>
      <c r="I1396" s="205"/>
      <c r="J1396" s="205"/>
      <c r="K1396" s="205"/>
      <c r="L1396" s="205"/>
      <c r="M1396" s="239"/>
      <c r="N1396" s="235"/>
      <c r="O1396" s="240"/>
      <c r="P1396" s="238"/>
      <c r="Q1396" s="240"/>
      <c r="R1396" s="241"/>
      <c r="S1396" s="240"/>
      <c r="T1396" s="240"/>
      <c r="U1396" s="66"/>
    </row>
    <row r="1397" spans="2:21" x14ac:dyDescent="0.25">
      <c r="B1397" s="66"/>
      <c r="C1397" s="235"/>
      <c r="D1397" s="236"/>
      <c r="E1397" s="237"/>
      <c r="F1397" s="238"/>
      <c r="G1397" s="235"/>
      <c r="H1397" s="235"/>
      <c r="I1397" s="205"/>
      <c r="J1397" s="205"/>
      <c r="K1397" s="205"/>
      <c r="L1397" s="205"/>
      <c r="M1397" s="239"/>
      <c r="N1397" s="235"/>
      <c r="O1397" s="240"/>
      <c r="P1397" s="238"/>
      <c r="Q1397" s="240"/>
      <c r="R1397" s="241"/>
      <c r="S1397" s="240"/>
      <c r="T1397" s="240"/>
      <c r="U1397" s="66"/>
    </row>
    <row r="1398" spans="2:21" x14ac:dyDescent="0.25">
      <c r="B1398" s="66"/>
      <c r="C1398" s="235"/>
      <c r="D1398" s="236"/>
      <c r="E1398" s="237"/>
      <c r="F1398" s="238"/>
      <c r="G1398" s="235"/>
      <c r="H1398" s="235"/>
      <c r="I1398" s="205"/>
      <c r="J1398" s="205"/>
      <c r="K1398" s="205"/>
      <c r="L1398" s="205"/>
      <c r="M1398" s="239"/>
      <c r="N1398" s="235"/>
      <c r="O1398" s="240"/>
      <c r="P1398" s="238"/>
      <c r="Q1398" s="240"/>
      <c r="R1398" s="241"/>
      <c r="S1398" s="240"/>
      <c r="T1398" s="240"/>
      <c r="U1398" s="66"/>
    </row>
    <row r="1399" spans="2:21" x14ac:dyDescent="0.25">
      <c r="B1399" s="66"/>
      <c r="C1399" s="235"/>
      <c r="D1399" s="236"/>
      <c r="E1399" s="237"/>
      <c r="F1399" s="238"/>
      <c r="G1399" s="235"/>
      <c r="H1399" s="235"/>
      <c r="I1399" s="205"/>
      <c r="J1399" s="205"/>
      <c r="K1399" s="205"/>
      <c r="L1399" s="205"/>
      <c r="M1399" s="239"/>
      <c r="N1399" s="235"/>
      <c r="O1399" s="240"/>
      <c r="P1399" s="238"/>
      <c r="Q1399" s="240"/>
      <c r="R1399" s="241"/>
      <c r="S1399" s="240"/>
      <c r="T1399" s="240"/>
      <c r="U1399" s="66"/>
    </row>
    <row r="1400" spans="2:21" x14ac:dyDescent="0.25">
      <c r="B1400" s="66"/>
      <c r="C1400" s="235"/>
      <c r="D1400" s="236"/>
      <c r="E1400" s="237"/>
      <c r="F1400" s="238"/>
      <c r="G1400" s="235"/>
      <c r="H1400" s="235"/>
      <c r="I1400" s="205"/>
      <c r="J1400" s="205"/>
      <c r="K1400" s="205"/>
      <c r="L1400" s="205"/>
      <c r="M1400" s="239"/>
      <c r="N1400" s="235"/>
      <c r="O1400" s="240"/>
      <c r="P1400" s="238"/>
      <c r="Q1400" s="240"/>
      <c r="R1400" s="241"/>
      <c r="S1400" s="240"/>
      <c r="T1400" s="240"/>
      <c r="U1400" s="66"/>
    </row>
    <row r="1401" spans="2:21" x14ac:dyDescent="0.25">
      <c r="B1401" s="66"/>
      <c r="C1401" s="235"/>
      <c r="D1401" s="236"/>
      <c r="E1401" s="237"/>
      <c r="F1401" s="238"/>
      <c r="G1401" s="235"/>
      <c r="H1401" s="235"/>
      <c r="I1401" s="205"/>
      <c r="J1401" s="205"/>
      <c r="K1401" s="205"/>
      <c r="L1401" s="205"/>
      <c r="M1401" s="239"/>
      <c r="N1401" s="235"/>
      <c r="O1401" s="240"/>
      <c r="P1401" s="238"/>
      <c r="Q1401" s="240"/>
      <c r="R1401" s="241"/>
      <c r="S1401" s="240"/>
      <c r="T1401" s="240"/>
      <c r="U1401" s="66"/>
    </row>
    <row r="1402" spans="2:21" x14ac:dyDescent="0.25">
      <c r="B1402" s="66"/>
      <c r="C1402" s="235"/>
      <c r="D1402" s="236"/>
      <c r="E1402" s="237"/>
      <c r="F1402" s="238"/>
      <c r="G1402" s="235"/>
      <c r="H1402" s="235"/>
      <c r="I1402" s="205"/>
      <c r="J1402" s="205"/>
      <c r="K1402" s="205"/>
      <c r="L1402" s="205"/>
      <c r="M1402" s="239"/>
      <c r="N1402" s="235"/>
      <c r="O1402" s="240"/>
      <c r="P1402" s="238"/>
      <c r="Q1402" s="240"/>
      <c r="R1402" s="241"/>
      <c r="S1402" s="240"/>
      <c r="T1402" s="240"/>
      <c r="U1402" s="66"/>
    </row>
    <row r="1403" spans="2:21" x14ac:dyDescent="0.25">
      <c r="B1403" s="66"/>
      <c r="C1403" s="235"/>
      <c r="D1403" s="236"/>
      <c r="E1403" s="237"/>
      <c r="F1403" s="238"/>
      <c r="G1403" s="235"/>
      <c r="H1403" s="235"/>
      <c r="I1403" s="205"/>
      <c r="J1403" s="205"/>
      <c r="K1403" s="205"/>
      <c r="L1403" s="205"/>
      <c r="M1403" s="239"/>
      <c r="N1403" s="235"/>
      <c r="O1403" s="240"/>
      <c r="P1403" s="238"/>
      <c r="Q1403" s="240"/>
      <c r="R1403" s="241"/>
      <c r="S1403" s="240"/>
      <c r="T1403" s="240"/>
      <c r="U1403" s="66"/>
    </row>
    <row r="1404" spans="2:21" x14ac:dyDescent="0.25">
      <c r="B1404" s="66"/>
      <c r="C1404" s="235"/>
      <c r="D1404" s="236"/>
      <c r="E1404" s="237"/>
      <c r="F1404" s="238"/>
      <c r="G1404" s="235"/>
      <c r="H1404" s="235"/>
      <c r="I1404" s="205"/>
      <c r="J1404" s="205"/>
      <c r="K1404" s="205"/>
      <c r="L1404" s="205"/>
      <c r="M1404" s="239"/>
      <c r="N1404" s="235"/>
      <c r="O1404" s="240"/>
      <c r="P1404" s="238"/>
      <c r="Q1404" s="240"/>
      <c r="R1404" s="241"/>
      <c r="S1404" s="240"/>
      <c r="T1404" s="240"/>
      <c r="U1404" s="66"/>
    </row>
    <row r="1405" spans="2:21" x14ac:dyDescent="0.25">
      <c r="B1405" s="66"/>
      <c r="C1405" s="235"/>
      <c r="D1405" s="236"/>
      <c r="E1405" s="237"/>
      <c r="F1405" s="238"/>
      <c r="G1405" s="235"/>
      <c r="H1405" s="235"/>
      <c r="I1405" s="205"/>
      <c r="J1405" s="205"/>
      <c r="K1405" s="205"/>
      <c r="L1405" s="205"/>
      <c r="M1405" s="239"/>
      <c r="N1405" s="235"/>
      <c r="O1405" s="240"/>
      <c r="P1405" s="238"/>
      <c r="Q1405" s="240"/>
      <c r="R1405" s="241"/>
      <c r="S1405" s="240"/>
      <c r="T1405" s="240"/>
      <c r="U1405" s="66"/>
    </row>
    <row r="1406" spans="2:21" x14ac:dyDescent="0.25">
      <c r="B1406" s="66"/>
      <c r="C1406" s="66"/>
      <c r="D1406" s="205"/>
      <c r="E1406" s="66"/>
      <c r="F1406" s="66"/>
      <c r="G1406" s="235"/>
      <c r="H1406" s="235"/>
      <c r="I1406" s="205"/>
      <c r="J1406" s="205"/>
      <c r="K1406" s="205"/>
      <c r="L1406" s="205"/>
      <c r="M1406" s="239"/>
      <c r="N1406" s="235"/>
      <c r="O1406" s="66"/>
      <c r="P1406" s="66"/>
      <c r="Q1406" s="66"/>
      <c r="R1406" s="66"/>
      <c r="S1406" s="66"/>
      <c r="T1406" s="66"/>
      <c r="U1406" s="66"/>
    </row>
  </sheetData>
  <protectedRanges>
    <protectedRange sqref="T7" name="Intereses"/>
    <protectedRange sqref="P14:P385" name="RETIROS"/>
    <protectedRange sqref="F14:F385" name="Sueldos"/>
  </protectedRanges>
  <mergeCells count="25">
    <mergeCell ref="G4:I4"/>
    <mergeCell ref="C8:F8"/>
    <mergeCell ref="C10:F10"/>
    <mergeCell ref="G3:I3"/>
    <mergeCell ref="G7:N7"/>
    <mergeCell ref="C6:F6"/>
    <mergeCell ref="C12:C13"/>
    <mergeCell ref="F12:F13"/>
    <mergeCell ref="E12:E13"/>
    <mergeCell ref="C7:F7"/>
    <mergeCell ref="R12:T12"/>
    <mergeCell ref="Q12:Q13"/>
    <mergeCell ref="M12:M13"/>
    <mergeCell ref="O12:O13"/>
    <mergeCell ref="H12:H13"/>
    <mergeCell ref="N12:N13"/>
    <mergeCell ref="W12:X12"/>
    <mergeCell ref="Q6:S6"/>
    <mergeCell ref="Q7:S7"/>
    <mergeCell ref="Q8:S8"/>
    <mergeCell ref="G6:N6"/>
    <mergeCell ref="P12:P13"/>
    <mergeCell ref="G8:N8"/>
    <mergeCell ref="G10:N10"/>
    <mergeCell ref="G12:G13"/>
  </mergeCells>
  <dataValidations disablePrompts="1" count="1">
    <dataValidation type="custom" allowBlank="1" showInputMessage="1" showErrorMessage="1" errorTitle="Error" error="El monto de retiro debe ser expresado en numero negativo" sqref="P14:P385">
      <formula1>P14&lt;=0</formula1>
    </dataValidation>
  </dataValidations>
  <hyperlinks>
    <hyperlink ref="V3" location="Main!A1" display="VOLVER"/>
    <hyperlink ref="R13" location="InteresPres!R14" tooltip="Actualizar las tasas de interes" display="Tasa"/>
  </hyperlinks>
  <pageMargins left="0.70866141732283472" right="0.70866141732283472" top="0.74803149606299213" bottom="0.74803149606299213" header="0.31496062992125984" footer="0.31496062992125984"/>
  <pageSetup scale="67" fitToHeight="0" orientation="portrait" r:id="rId1"/>
  <headerFooter>
    <oddFooter>&amp;L&amp;T&amp;R&amp;P de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27" r:id="rId4" name="Button 7">
              <controlPr defaultSize="0" print="0" autoFill="0" autoPict="0" macro="[0]!Ir_SalarioIntegral_Calc">
                <anchor moveWithCells="1">
                  <from>
                    <xdr:col>14</xdr:col>
                    <xdr:colOff>219075</xdr:colOff>
                    <xdr:row>4</xdr:row>
                    <xdr:rowOff>180975</xdr:rowOff>
                  </from>
                  <to>
                    <xdr:col>15</xdr:col>
                    <xdr:colOff>800100</xdr:colOff>
                    <xdr:row>9</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tabColor theme="0"/>
  </sheetPr>
  <dimension ref="B1:W25"/>
  <sheetViews>
    <sheetView topLeftCell="B2" workbookViewId="0">
      <pane xSplit="1" ySplit="1" topLeftCell="K3" activePane="bottomRight" state="frozen"/>
      <selection activeCell="B2" sqref="B2"/>
      <selection pane="topRight" activeCell="C2" sqref="C2"/>
      <selection pane="bottomLeft" activeCell="B3" sqref="B3"/>
      <selection pane="bottomRight" activeCell="B16" sqref="B16"/>
    </sheetView>
  </sheetViews>
  <sheetFormatPr baseColWidth="10" defaultRowHeight="12.75" x14ac:dyDescent="0.2"/>
  <cols>
    <col min="1" max="1" width="0" style="113" hidden="1" customWidth="1"/>
    <col min="2" max="16384" width="11.42578125" style="113"/>
  </cols>
  <sheetData>
    <row r="1" spans="2:23" hidden="1" x14ac:dyDescent="0.2">
      <c r="B1" s="113">
        <v>1</v>
      </c>
      <c r="C1" s="113">
        <v>2</v>
      </c>
      <c r="D1" s="113">
        <v>3</v>
      </c>
      <c r="E1" s="113">
        <v>4</v>
      </c>
      <c r="F1" s="113">
        <v>5</v>
      </c>
      <c r="G1" s="113">
        <v>6</v>
      </c>
      <c r="H1" s="113">
        <v>7</v>
      </c>
      <c r="I1" s="113">
        <v>8</v>
      </c>
      <c r="J1" s="113">
        <v>9</v>
      </c>
      <c r="K1" s="113">
        <v>10</v>
      </c>
      <c r="L1" s="113">
        <v>11</v>
      </c>
      <c r="M1" s="113">
        <v>12</v>
      </c>
      <c r="N1" s="113">
        <v>13</v>
      </c>
      <c r="O1" s="113">
        <v>14</v>
      </c>
      <c r="P1" s="113">
        <v>15</v>
      </c>
      <c r="Q1" s="113">
        <v>16</v>
      </c>
      <c r="R1" s="113">
        <v>17</v>
      </c>
      <c r="S1" s="113">
        <v>18</v>
      </c>
    </row>
    <row r="2" spans="2:23" x14ac:dyDescent="0.2">
      <c r="B2" s="167"/>
      <c r="C2" s="168">
        <v>1997</v>
      </c>
      <c r="D2" s="168">
        <f>C2+1</f>
        <v>1998</v>
      </c>
      <c r="E2" s="168">
        <f t="shared" ref="E2:U2" si="0">D2+1</f>
        <v>1999</v>
      </c>
      <c r="F2" s="168">
        <f t="shared" si="0"/>
        <v>2000</v>
      </c>
      <c r="G2" s="168">
        <f t="shared" si="0"/>
        <v>2001</v>
      </c>
      <c r="H2" s="168">
        <f t="shared" si="0"/>
        <v>2002</v>
      </c>
      <c r="I2" s="168">
        <f t="shared" si="0"/>
        <v>2003</v>
      </c>
      <c r="J2" s="168">
        <f t="shared" si="0"/>
        <v>2004</v>
      </c>
      <c r="K2" s="168">
        <f t="shared" si="0"/>
        <v>2005</v>
      </c>
      <c r="L2" s="168">
        <f t="shared" si="0"/>
        <v>2006</v>
      </c>
      <c r="M2" s="168">
        <f t="shared" si="0"/>
        <v>2007</v>
      </c>
      <c r="N2" s="168">
        <f t="shared" si="0"/>
        <v>2008</v>
      </c>
      <c r="O2" s="168">
        <f t="shared" si="0"/>
        <v>2009</v>
      </c>
      <c r="P2" s="168">
        <f>O2+1</f>
        <v>2010</v>
      </c>
      <c r="Q2" s="168">
        <f t="shared" si="0"/>
        <v>2011</v>
      </c>
      <c r="R2" s="168">
        <f t="shared" si="0"/>
        <v>2012</v>
      </c>
      <c r="S2" s="168">
        <f t="shared" si="0"/>
        <v>2013</v>
      </c>
      <c r="T2" s="168">
        <f t="shared" si="0"/>
        <v>2014</v>
      </c>
      <c r="U2" s="168">
        <f t="shared" si="0"/>
        <v>2015</v>
      </c>
      <c r="V2" s="168">
        <f t="shared" ref="V2" si="1">U2+1</f>
        <v>2016</v>
      </c>
      <c r="W2" s="168">
        <f t="shared" ref="W2" si="2">V2+1</f>
        <v>2017</v>
      </c>
    </row>
    <row r="3" spans="2:23" x14ac:dyDescent="0.2">
      <c r="B3" s="169" t="s">
        <v>16</v>
      </c>
      <c r="C3" s="170">
        <v>21.14</v>
      </c>
      <c r="D3" s="170">
        <v>39.72</v>
      </c>
      <c r="E3" s="170">
        <v>22.69</v>
      </c>
      <c r="F3" s="170">
        <v>17.760000000000002</v>
      </c>
      <c r="G3" s="170">
        <v>23.57</v>
      </c>
      <c r="H3" s="171">
        <v>29.99</v>
      </c>
      <c r="I3" s="171">
        <v>16.829999999999998</v>
      </c>
      <c r="J3" s="171">
        <v>15.25</v>
      </c>
      <c r="K3" s="171">
        <v>12.79</v>
      </c>
      <c r="L3" s="171">
        <v>12.64</v>
      </c>
      <c r="M3" s="171">
        <v>16.440000000000001</v>
      </c>
      <c r="N3" s="171">
        <v>19.649999999999999</v>
      </c>
      <c r="O3" s="171">
        <v>16.97</v>
      </c>
      <c r="P3" s="170">
        <v>16.45</v>
      </c>
      <c r="Q3" s="170">
        <v>15.03</v>
      </c>
      <c r="R3" s="172">
        <v>15.06</v>
      </c>
      <c r="S3" s="172">
        <v>15.15</v>
      </c>
      <c r="T3" s="172">
        <v>16.850000000000001</v>
      </c>
      <c r="U3" s="172">
        <v>18.05</v>
      </c>
      <c r="V3" s="172">
        <v>18.71</v>
      </c>
      <c r="W3" s="172"/>
    </row>
    <row r="4" spans="2:23" x14ac:dyDescent="0.2">
      <c r="B4" s="169" t="s">
        <v>15</v>
      </c>
      <c r="C4" s="170">
        <v>18.72</v>
      </c>
      <c r="D4" s="170">
        <v>42.71</v>
      </c>
      <c r="E4" s="170">
        <v>22.95</v>
      </c>
      <c r="F4" s="170">
        <v>17.7</v>
      </c>
      <c r="G4" s="170">
        <v>21.51</v>
      </c>
      <c r="H4" s="171">
        <v>30.47</v>
      </c>
      <c r="I4" s="171">
        <v>17.670000000000002</v>
      </c>
      <c r="J4" s="171">
        <v>14.51</v>
      </c>
      <c r="K4" s="171">
        <v>12.95</v>
      </c>
      <c r="L4" s="171">
        <v>12.63</v>
      </c>
      <c r="M4" s="171">
        <v>15.75</v>
      </c>
      <c r="N4" s="171">
        <v>20.239999999999998</v>
      </c>
      <c r="O4" s="171">
        <v>17.05</v>
      </c>
      <c r="P4" s="170">
        <v>16.25</v>
      </c>
      <c r="Q4" s="170">
        <v>15.43</v>
      </c>
      <c r="R4" s="172">
        <v>15.29</v>
      </c>
      <c r="S4" s="172">
        <v>14.93</v>
      </c>
      <c r="T4" s="172">
        <v>16.96</v>
      </c>
      <c r="U4" s="172">
        <v>18.16</v>
      </c>
      <c r="V4" s="172">
        <v>18.600000000000001</v>
      </c>
      <c r="W4" s="172"/>
    </row>
    <row r="5" spans="2:23" x14ac:dyDescent="0.2">
      <c r="B5" s="169" t="s">
        <v>14</v>
      </c>
      <c r="C5" s="170">
        <v>18.34</v>
      </c>
      <c r="D5" s="170">
        <v>47.07</v>
      </c>
      <c r="E5" s="170">
        <v>21.74</v>
      </c>
      <c r="F5" s="170">
        <v>17.43</v>
      </c>
      <c r="G5" s="170">
        <v>25.59</v>
      </c>
      <c r="H5" s="171">
        <v>29.44</v>
      </c>
      <c r="I5" s="171">
        <v>16.87</v>
      </c>
      <c r="J5" s="171">
        <v>15.02</v>
      </c>
      <c r="K5" s="171">
        <v>13.18</v>
      </c>
      <c r="L5" s="171">
        <v>12.46</v>
      </c>
      <c r="M5" s="171">
        <v>14</v>
      </c>
      <c r="N5" s="171">
        <v>19.82</v>
      </c>
      <c r="O5" s="171">
        <v>17.62</v>
      </c>
      <c r="P5" s="170">
        <v>16.38</v>
      </c>
      <c r="Q5" s="170">
        <v>16.39</v>
      </c>
      <c r="R5" s="172">
        <v>15.5</v>
      </c>
      <c r="S5" s="172">
        <v>14.99</v>
      </c>
      <c r="T5" s="172">
        <v>16.649999999999999</v>
      </c>
      <c r="U5" s="172">
        <v>18.13</v>
      </c>
      <c r="V5" s="172">
        <v>18.690000000000001</v>
      </c>
      <c r="W5" s="172"/>
    </row>
    <row r="6" spans="2:23" x14ac:dyDescent="0.2">
      <c r="B6" s="169" t="s">
        <v>13</v>
      </c>
      <c r="C6" s="170">
        <v>18.73</v>
      </c>
      <c r="D6" s="170">
        <v>63.84</v>
      </c>
      <c r="E6" s="170">
        <v>21.12</v>
      </c>
      <c r="F6" s="170">
        <v>18.84</v>
      </c>
      <c r="G6" s="170">
        <v>27.62</v>
      </c>
      <c r="H6" s="171">
        <v>26.92</v>
      </c>
      <c r="I6" s="171">
        <v>19.989999999999998</v>
      </c>
      <c r="J6" s="171">
        <v>15.2</v>
      </c>
      <c r="K6" s="171">
        <v>12.71</v>
      </c>
      <c r="L6" s="171">
        <v>12.32</v>
      </c>
      <c r="M6" s="171">
        <v>13.79</v>
      </c>
      <c r="N6" s="171">
        <v>19.68</v>
      </c>
      <c r="O6" s="171">
        <v>16.579999999999998</v>
      </c>
      <c r="P6" s="170">
        <v>16.100000000000001</v>
      </c>
      <c r="Q6" s="170">
        <v>16</v>
      </c>
      <c r="R6" s="172">
        <v>15.65</v>
      </c>
      <c r="S6" s="172">
        <v>15.13</v>
      </c>
      <c r="T6" s="172">
        <v>16.16</v>
      </c>
      <c r="U6" s="172">
        <v>17.86</v>
      </c>
      <c r="V6" s="172">
        <v>18.25</v>
      </c>
      <c r="W6" s="172"/>
    </row>
    <row r="7" spans="2:23" x14ac:dyDescent="0.2">
      <c r="B7" s="169" t="s">
        <v>12</v>
      </c>
      <c r="C7" s="170">
        <v>19.86</v>
      </c>
      <c r="D7" s="170">
        <v>51.28</v>
      </c>
      <c r="E7" s="170">
        <v>21.03</v>
      </c>
      <c r="F7" s="170">
        <v>19.28</v>
      </c>
      <c r="G7" s="170">
        <v>19.690000000000001</v>
      </c>
      <c r="H7" s="171">
        <v>26.92</v>
      </c>
      <c r="I7" s="171">
        <v>18.739999999999998</v>
      </c>
      <c r="J7" s="171">
        <v>15.01</v>
      </c>
      <c r="K7" s="171">
        <v>13.33</v>
      </c>
      <c r="L7" s="171">
        <v>12.43</v>
      </c>
      <c r="M7" s="171">
        <v>13.86</v>
      </c>
      <c r="N7" s="171">
        <v>20.09</v>
      </c>
      <c r="O7" s="171">
        <v>17.04</v>
      </c>
      <c r="P7" s="170">
        <v>16.28</v>
      </c>
      <c r="Q7" s="170">
        <v>15.94</v>
      </c>
      <c r="R7" s="172">
        <v>15.57</v>
      </c>
      <c r="S7" s="172">
        <v>15.53</v>
      </c>
      <c r="T7" s="172">
        <v>16.23</v>
      </c>
      <c r="U7" s="172">
        <v>17.489999999999998</v>
      </c>
      <c r="V7" s="172">
        <v>18.54</v>
      </c>
      <c r="W7" s="172"/>
    </row>
    <row r="8" spans="2:23" x14ac:dyDescent="0.2">
      <c r="B8" s="169" t="s">
        <v>11</v>
      </c>
      <c r="C8" s="170">
        <v>19.43</v>
      </c>
      <c r="D8" s="170">
        <v>53.25</v>
      </c>
      <c r="E8" s="170">
        <v>23</v>
      </c>
      <c r="F8" s="170">
        <v>18.809999999999999</v>
      </c>
      <c r="G8" s="170">
        <v>18.54</v>
      </c>
      <c r="H8" s="171">
        <v>29.9</v>
      </c>
      <c r="I8" s="171">
        <v>18.489999999999998</v>
      </c>
      <c r="J8" s="171">
        <v>14.45</v>
      </c>
      <c r="K8" s="171">
        <v>13.53</v>
      </c>
      <c r="L8" s="171">
        <v>12.29</v>
      </c>
      <c r="M8" s="171">
        <v>13.51</v>
      </c>
      <c r="N8" s="171">
        <v>20.3</v>
      </c>
      <c r="O8" s="171">
        <v>17.260000000000002</v>
      </c>
      <c r="P8" s="170">
        <v>16.34</v>
      </c>
      <c r="Q8" s="170">
        <v>16.52</v>
      </c>
      <c r="R8" s="172">
        <v>15.35</v>
      </c>
      <c r="S8" s="172">
        <v>14.97</v>
      </c>
      <c r="T8" s="172">
        <v>15.86</v>
      </c>
      <c r="U8" s="172">
        <v>17.38</v>
      </c>
      <c r="V8" s="172">
        <v>18.07</v>
      </c>
      <c r="W8" s="172"/>
    </row>
    <row r="9" spans="2:23" x14ac:dyDescent="0.2">
      <c r="B9" s="169" t="s">
        <v>10</v>
      </c>
      <c r="C9" s="170" t="s">
        <v>57</v>
      </c>
      <c r="D9" s="170">
        <v>38.79</v>
      </c>
      <c r="E9" s="170">
        <v>24.84</v>
      </c>
      <c r="F9" s="170">
        <v>21.31</v>
      </c>
      <c r="G9" s="170">
        <v>18.5</v>
      </c>
      <c r="H9" s="171">
        <v>31.64</v>
      </c>
      <c r="I9" s="171">
        <v>18.329999999999998</v>
      </c>
      <c r="J9" s="171">
        <v>14.92</v>
      </c>
      <c r="K9" s="171">
        <v>13.47</v>
      </c>
      <c r="L9" s="171">
        <v>11.94</v>
      </c>
      <c r="M9" s="171">
        <v>12.53</v>
      </c>
      <c r="N9" s="171">
        <v>20.09</v>
      </c>
      <c r="O9" s="171">
        <v>17.559999999999999</v>
      </c>
      <c r="P9" s="170">
        <v>16.100000000000001</v>
      </c>
      <c r="Q9" s="170">
        <v>16.09</v>
      </c>
      <c r="R9" s="172">
        <v>15.38</v>
      </c>
      <c r="S9" s="172">
        <v>14.88</v>
      </c>
      <c r="T9" s="172">
        <v>15.56</v>
      </c>
      <c r="U9" s="172">
        <v>17.100000000000001</v>
      </c>
      <c r="V9" s="172">
        <v>18.12</v>
      </c>
      <c r="W9" s="172"/>
    </row>
    <row r="10" spans="2:23" x14ac:dyDescent="0.2">
      <c r="B10" s="169" t="s">
        <v>9</v>
      </c>
      <c r="C10" s="170" t="s">
        <v>57</v>
      </c>
      <c r="D10" s="170">
        <v>38.18</v>
      </c>
      <c r="E10" s="170">
        <v>24.8</v>
      </c>
      <c r="F10" s="170">
        <v>19.04</v>
      </c>
      <c r="G10" s="170">
        <v>16.559999999999999</v>
      </c>
      <c r="H10" s="171">
        <v>36.200000000000003</v>
      </c>
      <c r="I10" s="171">
        <v>20.12</v>
      </c>
      <c r="J10" s="171">
        <v>15.4</v>
      </c>
      <c r="K10" s="171">
        <v>14.02</v>
      </c>
      <c r="L10" s="171">
        <v>12.15</v>
      </c>
      <c r="M10" s="171">
        <v>13.03</v>
      </c>
      <c r="N10" s="171">
        <v>20.85</v>
      </c>
      <c r="O10" s="171">
        <v>18.77</v>
      </c>
      <c r="P10" s="170">
        <v>16.399999999999999</v>
      </c>
      <c r="Q10" s="170">
        <v>16.64</v>
      </c>
      <c r="R10" s="172">
        <v>15.63</v>
      </c>
      <c r="S10" s="172">
        <v>15.07</v>
      </c>
      <c r="T10" s="172">
        <v>15.54</v>
      </c>
      <c r="U10" s="172">
        <v>16.989999999999998</v>
      </c>
      <c r="V10" s="172">
        <v>18.36</v>
      </c>
      <c r="W10" s="172"/>
    </row>
    <row r="11" spans="2:23" x14ac:dyDescent="0.2">
      <c r="B11" s="169" t="s">
        <v>8</v>
      </c>
      <c r="C11" s="170" t="s">
        <v>57</v>
      </c>
      <c r="D11" s="170">
        <v>32.270000000000003</v>
      </c>
      <c r="E11" s="170">
        <v>27.26</v>
      </c>
      <c r="F11" s="170">
        <v>20.49</v>
      </c>
      <c r="G11" s="170">
        <v>16.05</v>
      </c>
      <c r="H11" s="171">
        <v>43.59</v>
      </c>
      <c r="I11" s="171">
        <v>24.52</v>
      </c>
      <c r="J11" s="171">
        <v>15.22</v>
      </c>
      <c r="K11" s="171">
        <v>13.96</v>
      </c>
      <c r="L11" s="171">
        <v>12.11</v>
      </c>
      <c r="M11" s="171">
        <v>13.05</v>
      </c>
      <c r="N11" s="171">
        <v>18.350000000000001</v>
      </c>
      <c r="O11" s="171">
        <v>18.77</v>
      </c>
      <c r="P11" s="170">
        <v>16.23</v>
      </c>
      <c r="Q11" s="170">
        <v>16.37</v>
      </c>
      <c r="R11" s="172">
        <v>15.41</v>
      </c>
      <c r="S11" s="172">
        <v>15.09</v>
      </c>
      <c r="T11" s="172">
        <v>15.44</v>
      </c>
      <c r="U11" s="172">
        <v>17.22</v>
      </c>
      <c r="V11" s="172">
        <v>17.88</v>
      </c>
      <c r="W11" s="172"/>
    </row>
    <row r="12" spans="2:23" x14ac:dyDescent="0.2">
      <c r="B12" s="169" t="s">
        <v>7</v>
      </c>
      <c r="C12" s="170" t="s">
        <v>57</v>
      </c>
      <c r="D12" s="170">
        <v>30.84</v>
      </c>
      <c r="E12" s="170">
        <v>30.55</v>
      </c>
      <c r="F12" s="170">
        <v>19.78</v>
      </c>
      <c r="G12" s="170">
        <v>16.170000000000002</v>
      </c>
      <c r="H12" s="171">
        <v>50.1</v>
      </c>
      <c r="I12" s="171">
        <v>25.05</v>
      </c>
      <c r="J12" s="171">
        <v>15.2</v>
      </c>
      <c r="K12" s="171">
        <v>14.44</v>
      </c>
      <c r="L12" s="171">
        <v>12.31</v>
      </c>
      <c r="M12" s="171">
        <v>12.53</v>
      </c>
      <c r="N12" s="171">
        <v>18.170000000000002</v>
      </c>
      <c r="O12" s="171">
        <v>19.739999999999998</v>
      </c>
      <c r="P12" s="170">
        <v>16.440000000000001</v>
      </c>
      <c r="Q12" s="170">
        <v>16</v>
      </c>
      <c r="R12" s="172">
        <v>14.97</v>
      </c>
      <c r="S12" s="172">
        <v>14.89</v>
      </c>
      <c r="T12" s="172">
        <v>15.05</v>
      </c>
      <c r="U12" s="172">
        <v>16.71</v>
      </c>
      <c r="V12" s="172">
        <v>17.93</v>
      </c>
      <c r="W12" s="172"/>
    </row>
    <row r="13" spans="2:23" x14ac:dyDescent="0.2">
      <c r="B13" s="169" t="s">
        <v>6</v>
      </c>
      <c r="C13" s="170" t="s">
        <v>57</v>
      </c>
      <c r="D13" s="170">
        <v>29.46</v>
      </c>
      <c r="E13" s="170">
        <v>35.07</v>
      </c>
      <c r="F13" s="170">
        <v>22.1</v>
      </c>
      <c r="G13" s="170">
        <v>16.170000000000002</v>
      </c>
      <c r="H13" s="171">
        <v>39.1</v>
      </c>
      <c r="I13" s="171">
        <v>29.12</v>
      </c>
      <c r="J13" s="171">
        <v>14.46</v>
      </c>
      <c r="K13" s="171">
        <v>14.21</v>
      </c>
      <c r="L13" s="171">
        <v>12.76</v>
      </c>
      <c r="M13" s="171">
        <v>12.82</v>
      </c>
      <c r="N13" s="171">
        <v>17.559999999999999</v>
      </c>
      <c r="O13" s="171">
        <v>19.98</v>
      </c>
      <c r="P13" s="170">
        <v>16.649999999999999</v>
      </c>
      <c r="Q13" s="170">
        <v>16.37</v>
      </c>
      <c r="R13" s="172">
        <v>15.18</v>
      </c>
      <c r="S13" s="172">
        <v>15.47</v>
      </c>
      <c r="T13" s="172">
        <v>15.54</v>
      </c>
      <c r="U13" s="172">
        <v>16.649999999999999</v>
      </c>
      <c r="V13" s="172">
        <v>17.05</v>
      </c>
      <c r="W13" s="172"/>
    </row>
    <row r="14" spans="2:23" x14ac:dyDescent="0.2">
      <c r="B14" s="169" t="s">
        <v>5</v>
      </c>
      <c r="C14" s="170" t="s">
        <v>57</v>
      </c>
      <c r="D14" s="170">
        <v>21.51</v>
      </c>
      <c r="E14" s="170">
        <v>36.729999999999997</v>
      </c>
      <c r="F14" s="170">
        <v>23.76</v>
      </c>
      <c r="G14" s="170">
        <v>17.34</v>
      </c>
      <c r="H14" s="171">
        <v>28.91</v>
      </c>
      <c r="I14" s="171">
        <v>31.63</v>
      </c>
      <c r="J14" s="171">
        <v>15.09</v>
      </c>
      <c r="K14" s="171">
        <v>14.93</v>
      </c>
      <c r="L14" s="171">
        <v>12.71</v>
      </c>
      <c r="M14" s="171">
        <v>12.92</v>
      </c>
      <c r="N14" s="171">
        <v>18.53</v>
      </c>
      <c r="O14" s="171">
        <v>19.760000000000002</v>
      </c>
      <c r="P14" s="170">
        <v>16.739999999999998</v>
      </c>
      <c r="Q14" s="170">
        <v>16.29</v>
      </c>
      <c r="R14" s="172">
        <v>15.7</v>
      </c>
      <c r="S14" s="172">
        <v>14.66</v>
      </c>
      <c r="T14" s="172">
        <v>15.12</v>
      </c>
      <c r="U14" s="172">
        <v>16.760000000000002</v>
      </c>
      <c r="V14" s="172">
        <v>17.86</v>
      </c>
      <c r="W14" s="172"/>
    </row>
    <row r="16" spans="2:23" ht="12.75" customHeight="1" x14ac:dyDescent="0.2">
      <c r="B16" s="163" t="s">
        <v>47</v>
      </c>
      <c r="Q16" s="483" t="s">
        <v>123</v>
      </c>
      <c r="R16" s="483"/>
      <c r="S16" s="483"/>
    </row>
    <row r="17" spans="3:17" x14ac:dyDescent="0.2">
      <c r="Q17" s="175"/>
    </row>
    <row r="18" spans="3:17" ht="12.75" customHeight="1" x14ac:dyDescent="0.2">
      <c r="C18" s="163"/>
      <c r="D18" s="163"/>
      <c r="Q18" s="175"/>
    </row>
    <row r="19" spans="3:17" x14ac:dyDescent="0.2">
      <c r="Q19" s="175"/>
    </row>
    <row r="20" spans="3:17" x14ac:dyDescent="0.2">
      <c r="Q20" s="175"/>
    </row>
    <row r="21" spans="3:17" x14ac:dyDescent="0.2">
      <c r="Q21" s="175"/>
    </row>
    <row r="22" spans="3:17" x14ac:dyDescent="0.2">
      <c r="Q22" s="175"/>
    </row>
    <row r="23" spans="3:17" x14ac:dyDescent="0.2">
      <c r="Q23" s="175"/>
    </row>
    <row r="24" spans="3:17" x14ac:dyDescent="0.2">
      <c r="Q24" s="175"/>
    </row>
    <row r="25" spans="3:17" x14ac:dyDescent="0.2">
      <c r="Q25" s="175"/>
    </row>
  </sheetData>
  <protectedRanges>
    <protectedRange sqref="R3:S14" name="Rango1"/>
  </protectedRanges>
  <mergeCells count="1">
    <mergeCell ref="Q16:S16"/>
  </mergeCells>
  <hyperlinks>
    <hyperlink ref="B16" location="Prestaciones!A1" display="Volver"/>
    <hyperlink ref="B18:D18" r:id="rId1" display="¿Dónde puedo encontras estos valores?"/>
    <hyperlink ref="Q16:S16" r:id="rId2" display="¿Dónde puedo encontras estos valores?"/>
  </hyperlinks>
  <pageMargins left="0.7" right="0.7" top="0.75" bottom="0.75" header="0.3" footer="0.3"/>
  <pageSetup orientation="portrait"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B1:E11"/>
  <sheetViews>
    <sheetView showGridLines="0" workbookViewId="0">
      <selection activeCell="E2" sqref="E2"/>
    </sheetView>
  </sheetViews>
  <sheetFormatPr baseColWidth="10" defaultColWidth="9.140625" defaultRowHeight="12.75" x14ac:dyDescent="0.2"/>
  <cols>
    <col min="1" max="1" width="11.42578125" style="113" customWidth="1"/>
    <col min="2" max="2" width="23" style="113" customWidth="1"/>
    <col min="3" max="3" width="12.28515625" style="113" bestFit="1" customWidth="1"/>
    <col min="4" max="16384" width="9.140625" style="113"/>
  </cols>
  <sheetData>
    <row r="1" spans="2:5" ht="13.5" thickBot="1" x14ac:dyDescent="0.25"/>
    <row r="2" spans="2:5" ht="13.5" thickBot="1" x14ac:dyDescent="0.25">
      <c r="B2" s="484" t="s">
        <v>107</v>
      </c>
      <c r="C2" s="485"/>
      <c r="D2" s="486"/>
      <c r="E2" s="98" t="s">
        <v>87</v>
      </c>
    </row>
    <row r="3" spans="2:5" x14ac:dyDescent="0.2">
      <c r="B3" s="19" t="s">
        <v>40</v>
      </c>
      <c r="C3" s="42" t="str">
        <f>Main!H21</f>
        <v>SI</v>
      </c>
      <c r="D3" s="18"/>
    </row>
    <row r="4" spans="2:5" x14ac:dyDescent="0.2">
      <c r="B4" s="19" t="s">
        <v>108</v>
      </c>
      <c r="C4" s="131">
        <v>12</v>
      </c>
      <c r="D4" s="18"/>
    </row>
    <row r="5" spans="2:5" x14ac:dyDescent="0.2">
      <c r="B5" s="19" t="s">
        <v>109</v>
      </c>
      <c r="C5" s="119">
        <f>C4*Main!C15</f>
        <v>2124</v>
      </c>
      <c r="D5" s="18" t="s">
        <v>23</v>
      </c>
    </row>
    <row r="6" spans="2:5" x14ac:dyDescent="0.2">
      <c r="B6" s="19" t="s">
        <v>110</v>
      </c>
      <c r="C6" s="23">
        <v>30</v>
      </c>
      <c r="D6" s="18"/>
    </row>
    <row r="7" spans="2:5" ht="13.5" thickBot="1" x14ac:dyDescent="0.25">
      <c r="B7" s="20" t="s">
        <v>42</v>
      </c>
      <c r="C7" s="132">
        <f>IF(C3="SI",C6*C5,0)</f>
        <v>63720</v>
      </c>
      <c r="D7" s="22" t="s">
        <v>23</v>
      </c>
    </row>
    <row r="8" spans="2:5" ht="13.5" thickBot="1" x14ac:dyDescent="0.25"/>
    <row r="9" spans="2:5" x14ac:dyDescent="0.2">
      <c r="B9" s="487" t="s">
        <v>111</v>
      </c>
      <c r="C9" s="488"/>
      <c r="D9" s="489"/>
    </row>
    <row r="10" spans="2:5" x14ac:dyDescent="0.2">
      <c r="B10" s="490"/>
      <c r="C10" s="491"/>
      <c r="D10" s="492"/>
    </row>
    <row r="11" spans="2:5" ht="13.5" thickBot="1" x14ac:dyDescent="0.25">
      <c r="B11" s="493"/>
      <c r="C11" s="494"/>
      <c r="D11" s="495"/>
    </row>
  </sheetData>
  <protectedRanges>
    <protectedRange sqref="C4 C6" name="Rango1"/>
  </protectedRanges>
  <mergeCells count="2">
    <mergeCell ref="B2:D2"/>
    <mergeCell ref="B9:D11"/>
  </mergeCells>
  <dataValidations count="2">
    <dataValidation allowBlank="1" showInputMessage="1" showErrorMessage="1" errorTitle="Error en el monto" error="El valor debe estar entre 25% y 10% de la Unidad Tributaria" sqref="C4"/>
    <dataValidation type="list" allowBlank="1" showInputMessage="1" showErrorMessage="1" sqref="C3">
      <formula1>"SI,NO"</formula1>
    </dataValidation>
  </dataValidations>
  <hyperlinks>
    <hyperlink ref="B9:D11" r:id="rId1" display="Ley de Alimentacion para trabajadores"/>
    <hyperlink ref="E2" location="Main!A1" display="VOLVER"/>
  </hyperlinks>
  <pageMargins left="0.75" right="0.75" top="1" bottom="1" header="0" footer="0"/>
  <headerFooter alignWithMargins="0"/>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9"/>
  <dimension ref="A1:T58"/>
  <sheetViews>
    <sheetView showGridLines="0" workbookViewId="0">
      <selection activeCell="I2" sqref="I2"/>
    </sheetView>
  </sheetViews>
  <sheetFormatPr baseColWidth="10" defaultColWidth="9.140625" defaultRowHeight="15" x14ac:dyDescent="0.25"/>
  <cols>
    <col min="1" max="1" width="12.42578125" style="59" customWidth="1"/>
    <col min="2" max="2" width="4.28515625" style="87" customWidth="1"/>
    <col min="3" max="4" width="11.42578125" customWidth="1"/>
    <col min="5" max="5" width="14.7109375" customWidth="1"/>
    <col min="6" max="7" width="11.42578125" customWidth="1"/>
    <col min="8" max="8" width="4.28515625" customWidth="1"/>
    <col min="9" max="9" width="11.42578125" style="59" customWidth="1"/>
    <col min="10" max="10" width="3" style="59" hidden="1" customWidth="1"/>
    <col min="11" max="20" width="11.42578125" style="59" customWidth="1"/>
  </cols>
  <sheetData>
    <row r="1" spans="1:20" s="59" customFormat="1" x14ac:dyDescent="0.25"/>
    <row r="2" spans="1:20" x14ac:dyDescent="0.25">
      <c r="B2" s="178"/>
      <c r="C2" s="179"/>
      <c r="D2" s="179"/>
      <c r="E2" s="179"/>
      <c r="F2" s="179"/>
      <c r="G2" s="179"/>
      <c r="H2" s="180"/>
      <c r="I2" s="199" t="s">
        <v>47</v>
      </c>
    </row>
    <row r="3" spans="1:20" x14ac:dyDescent="0.25">
      <c r="B3" s="181"/>
      <c r="C3" s="6" t="s">
        <v>124</v>
      </c>
      <c r="D3" s="6"/>
      <c r="E3" s="6"/>
      <c r="F3" s="6"/>
      <c r="G3" s="6"/>
      <c r="H3" s="183"/>
    </row>
    <row r="4" spans="1:20" x14ac:dyDescent="0.25">
      <c r="B4" s="181"/>
      <c r="C4" s="504" t="s">
        <v>198</v>
      </c>
      <c r="D4" s="504"/>
      <c r="E4" s="6"/>
      <c r="F4" s="6"/>
      <c r="G4" s="6"/>
      <c r="H4" s="183"/>
    </row>
    <row r="5" spans="1:20" x14ac:dyDescent="0.25">
      <c r="B5" s="181"/>
      <c r="C5" s="505" t="s">
        <v>125</v>
      </c>
      <c r="D5" s="505"/>
      <c r="E5" s="6"/>
      <c r="F5" s="6"/>
      <c r="G5" s="6"/>
      <c r="H5" s="183"/>
    </row>
    <row r="6" spans="1:20" x14ac:dyDescent="0.25">
      <c r="B6" s="181"/>
      <c r="C6" s="506" t="s">
        <v>126</v>
      </c>
      <c r="D6" s="506"/>
      <c r="E6" s="6"/>
      <c r="F6" s="6"/>
      <c r="G6" s="6"/>
      <c r="H6" s="183"/>
    </row>
    <row r="7" spans="1:20" s="87" customFormat="1" x14ac:dyDescent="0.25">
      <c r="A7" s="59"/>
      <c r="B7" s="190"/>
      <c r="C7" s="195"/>
      <c r="D7" s="195"/>
      <c r="E7" s="156"/>
      <c r="F7" s="156"/>
      <c r="G7" s="156"/>
      <c r="H7" s="192"/>
      <c r="I7" s="59"/>
      <c r="J7" s="59"/>
      <c r="K7" s="59"/>
      <c r="L7" s="59"/>
      <c r="M7" s="59"/>
      <c r="N7" s="59"/>
      <c r="O7" s="59"/>
      <c r="P7" s="59"/>
      <c r="Q7" s="59"/>
      <c r="R7" s="59"/>
      <c r="S7" s="59"/>
      <c r="T7" s="59"/>
    </row>
    <row r="8" spans="1:20" s="59" customFormat="1" x14ac:dyDescent="0.25">
      <c r="C8" s="196"/>
      <c r="D8" s="196"/>
    </row>
    <row r="9" spans="1:20" x14ac:dyDescent="0.25">
      <c r="B9" s="178"/>
      <c r="C9" s="179"/>
      <c r="D9" s="179"/>
      <c r="E9" s="179"/>
      <c r="F9" s="179"/>
      <c r="G9" s="179"/>
      <c r="H9" s="180"/>
    </row>
    <row r="10" spans="1:20" s="87" customFormat="1" x14ac:dyDescent="0.25">
      <c r="A10" s="59"/>
      <c r="B10" s="181"/>
      <c r="C10" s="6"/>
      <c r="D10" s="182"/>
      <c r="E10" s="82" t="s">
        <v>128</v>
      </c>
      <c r="F10" s="6">
        <f ca="1">IF(Main!C10/12-INT(Main!C10/12)&gt;=0.5,ROUNDUP(Main!C10/12,0),ROUNDDOWN(Main!C10/12,0))</f>
        <v>6</v>
      </c>
      <c r="G10" s="95" t="s">
        <v>127</v>
      </c>
      <c r="H10" s="183"/>
      <c r="I10" s="59"/>
      <c r="J10" s="59"/>
      <c r="K10" s="59"/>
      <c r="L10" s="59"/>
      <c r="M10" s="59"/>
      <c r="N10" s="59"/>
      <c r="O10" s="59"/>
      <c r="P10" s="59"/>
      <c r="Q10" s="59"/>
      <c r="R10" s="59"/>
      <c r="S10" s="59"/>
      <c r="T10" s="59"/>
    </row>
    <row r="11" spans="1:20" s="87" customFormat="1" x14ac:dyDescent="0.25">
      <c r="A11" s="59"/>
      <c r="B11" s="181"/>
      <c r="C11" s="6"/>
      <c r="D11" s="6"/>
      <c r="E11" s="82" t="s">
        <v>135</v>
      </c>
      <c r="F11" s="6">
        <f ca="1">F10*30</f>
        <v>180</v>
      </c>
      <c r="G11" s="95" t="s">
        <v>136</v>
      </c>
      <c r="H11" s="183"/>
      <c r="I11" s="59"/>
      <c r="J11" s="59"/>
      <c r="K11" s="59"/>
      <c r="L11" s="59"/>
      <c r="M11" s="59"/>
      <c r="N11" s="59"/>
      <c r="O11" s="59"/>
      <c r="P11" s="59"/>
      <c r="Q11" s="59"/>
      <c r="R11" s="59"/>
      <c r="S11" s="59"/>
      <c r="T11" s="59"/>
    </row>
    <row r="12" spans="1:20" s="87" customFormat="1" x14ac:dyDescent="0.25">
      <c r="A12" s="59"/>
      <c r="B12" s="181"/>
      <c r="C12" s="156"/>
      <c r="D12" s="156"/>
      <c r="E12" s="151" t="s">
        <v>129</v>
      </c>
      <c r="F12" s="176">
        <f>Main!C8</f>
        <v>90000</v>
      </c>
      <c r="G12" s="177" t="s">
        <v>25</v>
      </c>
      <c r="H12" s="183"/>
      <c r="I12" s="59"/>
      <c r="J12" s="59"/>
      <c r="K12" s="59"/>
      <c r="L12" s="59"/>
      <c r="M12" s="59"/>
      <c r="N12" s="59"/>
      <c r="O12" s="59"/>
      <c r="P12" s="59"/>
      <c r="Q12" s="59"/>
      <c r="R12" s="59"/>
      <c r="S12" s="59"/>
      <c r="T12" s="59"/>
    </row>
    <row r="13" spans="1:20" s="87" customFormat="1" x14ac:dyDescent="0.25">
      <c r="A13" s="59"/>
      <c r="B13" s="184" t="s">
        <v>131</v>
      </c>
      <c r="C13" s="185"/>
      <c r="D13" s="185"/>
      <c r="E13" s="153" t="s">
        <v>130</v>
      </c>
      <c r="F13" s="186">
        <f ca="1">(F12/30)*F11</f>
        <v>540000</v>
      </c>
      <c r="G13" s="187" t="s">
        <v>25</v>
      </c>
      <c r="H13" s="188"/>
      <c r="I13" s="59"/>
      <c r="J13" s="59"/>
      <c r="K13" s="59"/>
      <c r="L13" s="59"/>
      <c r="M13" s="59"/>
      <c r="N13" s="59"/>
      <c r="O13" s="59"/>
      <c r="P13" s="59"/>
      <c r="Q13" s="59"/>
      <c r="R13" s="59"/>
      <c r="S13" s="59"/>
      <c r="T13" s="59"/>
    </row>
    <row r="14" spans="1:20" s="87" customFormat="1" x14ac:dyDescent="0.25">
      <c r="A14" s="59"/>
      <c r="B14" s="184"/>
      <c r="C14" s="185"/>
      <c r="D14" s="185"/>
      <c r="E14" s="153"/>
      <c r="F14" s="186"/>
      <c r="G14" s="187"/>
      <c r="H14" s="188"/>
      <c r="I14" s="59"/>
      <c r="J14" s="59"/>
      <c r="K14" s="59"/>
      <c r="L14" s="59"/>
      <c r="M14" s="59"/>
      <c r="N14" s="59"/>
      <c r="O14" s="59"/>
      <c r="P14" s="59"/>
      <c r="Q14" s="59"/>
      <c r="R14" s="59"/>
      <c r="S14" s="59"/>
      <c r="T14" s="59"/>
    </row>
    <row r="15" spans="1:20" s="87" customFormat="1" x14ac:dyDescent="0.25">
      <c r="A15" s="59"/>
      <c r="B15" s="184"/>
      <c r="C15" s="213"/>
      <c r="D15" s="213"/>
      <c r="E15" s="214" t="s">
        <v>134</v>
      </c>
      <c r="F15" s="215">
        <f>Prestaciones!G6+Prestaciones!T8</f>
        <v>43483.524440000008</v>
      </c>
      <c r="G15" s="216" t="s">
        <v>25</v>
      </c>
      <c r="H15" s="188"/>
      <c r="I15" s="59"/>
      <c r="J15" s="59">
        <f ca="1">IF(OR(MONTH(Main!C6)=1,MONTH(Main!C6)=4,MONTH(Main!C6)=7,MONTH(Main!C6)=10),0,IF(OR(MONTH(Main!C6)=12,MONTH(Main!C6)=3,MONTH(Main!C6)=6,MONTH(Main!C6)=9),2,1))</f>
        <v>0</v>
      </c>
      <c r="K15" s="59"/>
      <c r="L15" s="59"/>
      <c r="M15" s="59"/>
      <c r="N15" s="59"/>
      <c r="O15" s="59"/>
      <c r="P15" s="59"/>
      <c r="Q15" s="59"/>
      <c r="R15" s="59"/>
      <c r="S15" s="59"/>
      <c r="T15" s="59"/>
    </row>
    <row r="16" spans="1:20" s="87" customFormat="1" ht="15" customHeight="1" x14ac:dyDescent="0.25">
      <c r="A16" s="59"/>
      <c r="B16" s="184"/>
      <c r="C16" s="503" t="str">
        <f ca="1">"Dias adicionales:"&amp;" "&amp;J15*5&amp;" ="</f>
        <v>Dias adicionales: 0 =</v>
      </c>
      <c r="D16" s="503"/>
      <c r="E16" s="503"/>
      <c r="F16" s="217">
        <f ca="1">J15*'Salario Integral'!E11*5</f>
        <v>0</v>
      </c>
      <c r="G16" s="218" t="s">
        <v>25</v>
      </c>
      <c r="H16" s="188"/>
      <c r="I16" s="59"/>
      <c r="J16" s="59"/>
      <c r="K16" s="59"/>
      <c r="L16" s="59"/>
      <c r="M16" s="59"/>
      <c r="N16" s="59"/>
      <c r="O16" s="59"/>
      <c r="P16" s="59"/>
      <c r="Q16" s="59"/>
      <c r="R16" s="59"/>
      <c r="S16" s="59"/>
      <c r="T16" s="59"/>
    </row>
    <row r="17" spans="1:20" s="87" customFormat="1" ht="13.5" customHeight="1" x14ac:dyDescent="0.25">
      <c r="A17" s="59"/>
      <c r="B17" s="184" t="s">
        <v>132</v>
      </c>
      <c r="C17" s="508" t="s">
        <v>162</v>
      </c>
      <c r="D17" s="508"/>
      <c r="E17" s="508"/>
      <c r="F17" s="186">
        <f ca="1">F16+F15</f>
        <v>43483.524440000008</v>
      </c>
      <c r="G17" s="187" t="s">
        <v>25</v>
      </c>
      <c r="H17" s="188"/>
      <c r="I17" s="59"/>
      <c r="J17" s="59"/>
      <c r="K17" s="59"/>
      <c r="L17" s="59"/>
      <c r="M17" s="59"/>
      <c r="N17" s="59"/>
      <c r="O17" s="59"/>
      <c r="P17" s="59"/>
      <c r="Q17" s="59"/>
      <c r="R17" s="59"/>
      <c r="S17" s="59"/>
      <c r="T17" s="59"/>
    </row>
    <row r="18" spans="1:20" s="87" customFormat="1" x14ac:dyDescent="0.25">
      <c r="A18" s="59"/>
      <c r="B18" s="184"/>
      <c r="C18" s="185"/>
      <c r="D18" s="185"/>
      <c r="E18" s="153"/>
      <c r="F18" s="186"/>
      <c r="G18" s="187"/>
      <c r="H18" s="188"/>
      <c r="I18" s="59"/>
      <c r="J18" s="59"/>
      <c r="K18" s="59"/>
      <c r="L18" s="59"/>
      <c r="M18" s="59"/>
      <c r="N18" s="59"/>
      <c r="O18" s="59"/>
      <c r="P18" s="59"/>
      <c r="Q18" s="59"/>
      <c r="R18" s="59"/>
      <c r="S18" s="59"/>
      <c r="T18" s="59"/>
    </row>
    <row r="19" spans="1:20" x14ac:dyDescent="0.25">
      <c r="B19" s="181"/>
      <c r="C19" s="497" t="s">
        <v>133</v>
      </c>
      <c r="D19" s="497"/>
      <c r="E19" s="497"/>
      <c r="F19" s="497"/>
      <c r="G19" s="497"/>
      <c r="H19" s="188"/>
    </row>
    <row r="20" spans="1:20" x14ac:dyDescent="0.25">
      <c r="B20" s="181"/>
      <c r="C20" s="497"/>
      <c r="D20" s="497"/>
      <c r="E20" s="497"/>
      <c r="F20" s="497"/>
      <c r="G20" s="497"/>
      <c r="H20" s="183"/>
    </row>
    <row r="21" spans="1:20" x14ac:dyDescent="0.25">
      <c r="B21" s="181"/>
      <c r="C21" s="6"/>
      <c r="D21" s="6"/>
      <c r="E21" s="6"/>
      <c r="F21" s="6"/>
      <c r="G21" s="6"/>
      <c r="H21" s="183"/>
    </row>
    <row r="22" spans="1:20" x14ac:dyDescent="0.25">
      <c r="B22" s="181"/>
      <c r="C22" s="6" t="s">
        <v>137</v>
      </c>
      <c r="D22" s="6"/>
      <c r="E22" s="6"/>
      <c r="F22" s="189" t="str">
        <f ca="1">IF(F17&gt;F13,"(B)","(A)")</f>
        <v>(A)</v>
      </c>
      <c r="G22" s="6"/>
      <c r="H22" s="183"/>
    </row>
    <row r="23" spans="1:20" x14ac:dyDescent="0.25">
      <c r="B23" s="181"/>
      <c r="C23" s="6"/>
      <c r="D23" s="6"/>
      <c r="E23" s="6"/>
      <c r="F23" s="6"/>
      <c r="G23" s="6"/>
      <c r="H23" s="183"/>
    </row>
    <row r="24" spans="1:20" x14ac:dyDescent="0.25">
      <c r="B24" s="181"/>
      <c r="C24" s="498" t="str">
        <f>IF(AND(C6="Injustificado",C4="Despido"),"Por ser despido injustificado el monto de las prestaciones se multiplica por 2","")</f>
        <v/>
      </c>
      <c r="D24" s="498"/>
      <c r="E24" s="498"/>
      <c r="F24" s="498"/>
      <c r="G24" s="498"/>
      <c r="H24" s="183"/>
    </row>
    <row r="25" spans="1:20" x14ac:dyDescent="0.25">
      <c r="B25" s="181"/>
      <c r="C25" s="498"/>
      <c r="D25" s="498"/>
      <c r="E25" s="498"/>
      <c r="F25" s="498"/>
      <c r="G25" s="498"/>
      <c r="H25" s="183"/>
    </row>
    <row r="26" spans="1:20" s="87" customFormat="1" x14ac:dyDescent="0.25">
      <c r="A26" s="59"/>
      <c r="B26" s="190"/>
      <c r="C26" s="191"/>
      <c r="D26" s="191"/>
      <c r="E26" s="191"/>
      <c r="F26" s="191"/>
      <c r="G26" s="191"/>
      <c r="H26" s="192"/>
      <c r="I26" s="59"/>
      <c r="J26" s="59"/>
      <c r="K26" s="59"/>
      <c r="L26" s="59"/>
      <c r="M26" s="59"/>
      <c r="N26" s="59"/>
      <c r="O26" s="59"/>
      <c r="P26" s="59"/>
      <c r="Q26" s="59"/>
      <c r="R26" s="59"/>
      <c r="S26" s="59"/>
      <c r="T26" s="59"/>
    </row>
    <row r="27" spans="1:20" s="59" customFormat="1" x14ac:dyDescent="0.25">
      <c r="C27" s="499"/>
      <c r="D27" s="499"/>
      <c r="E27" s="499"/>
      <c r="F27" s="197"/>
      <c r="G27" s="198"/>
    </row>
    <row r="28" spans="1:20" s="87" customFormat="1" ht="15.75" thickBot="1" x14ac:dyDescent="0.3">
      <c r="A28" s="59"/>
      <c r="B28" s="178"/>
      <c r="C28" s="193"/>
      <c r="D28" s="193"/>
      <c r="E28" s="193"/>
      <c r="F28" s="193"/>
      <c r="G28" s="193"/>
      <c r="H28" s="180"/>
      <c r="I28" s="59"/>
      <c r="J28" s="59"/>
      <c r="K28" s="59"/>
      <c r="L28" s="59"/>
      <c r="M28" s="59"/>
      <c r="N28" s="59"/>
      <c r="O28" s="59"/>
      <c r="P28" s="59"/>
      <c r="Q28" s="59"/>
      <c r="R28" s="59"/>
      <c r="S28" s="59"/>
      <c r="T28" s="59"/>
    </row>
    <row r="29" spans="1:20" ht="15.75" thickBot="1" x14ac:dyDescent="0.3">
      <c r="B29" s="181"/>
      <c r="C29" s="507" t="s">
        <v>138</v>
      </c>
      <c r="D29" s="501"/>
      <c r="E29" s="501"/>
      <c r="F29" s="501" t="s">
        <v>76</v>
      </c>
      <c r="G29" s="502"/>
      <c r="H29" s="183"/>
    </row>
    <row r="30" spans="1:20" x14ac:dyDescent="0.25">
      <c r="B30" s="181"/>
      <c r="C30" s="496" t="s">
        <v>28</v>
      </c>
      <c r="D30" s="496"/>
      <c r="E30" s="496"/>
      <c r="F30" s="194">
        <f>Utilidades!F28</f>
        <v>179100</v>
      </c>
      <c r="G30" s="6" t="s">
        <v>25</v>
      </c>
      <c r="H30" s="183"/>
    </row>
    <row r="31" spans="1:20" x14ac:dyDescent="0.25">
      <c r="B31" s="181"/>
      <c r="C31" s="496" t="s">
        <v>37</v>
      </c>
      <c r="D31" s="496"/>
      <c r="E31" s="496"/>
      <c r="F31" s="194">
        <f ca="1">Vacaciones!F49</f>
        <v>7677.2692307692296</v>
      </c>
      <c r="G31" s="6" t="s">
        <v>25</v>
      </c>
      <c r="H31" s="183"/>
    </row>
    <row r="32" spans="1:20" x14ac:dyDescent="0.25">
      <c r="B32" s="181"/>
      <c r="C32" s="500" t="str">
        <f>IF(AND(C6="Injustificado",C4="Despido"),"Prestaciones X 2","Prestaciones")</f>
        <v>Prestaciones</v>
      </c>
      <c r="D32" s="500"/>
      <c r="E32" s="500"/>
      <c r="F32" s="176">
        <f ca="1">IF(AND(C6="Injustificado",C4="Despido"),MAX(F17,F13)*2,MAX(F17,F13))</f>
        <v>540000</v>
      </c>
      <c r="G32" s="156" t="s">
        <v>25</v>
      </c>
      <c r="H32" s="183"/>
    </row>
    <row r="33" spans="1:20" s="87" customFormat="1" x14ac:dyDescent="0.25">
      <c r="A33" s="59"/>
      <c r="B33" s="181"/>
      <c r="C33" s="203" t="s">
        <v>140</v>
      </c>
      <c r="D33" s="203"/>
      <c r="E33" s="203"/>
      <c r="F33" s="204">
        <f>-Prestaciones!G7</f>
        <v>14000</v>
      </c>
      <c r="G33" s="205" t="s">
        <v>25</v>
      </c>
      <c r="H33" s="183"/>
      <c r="I33" s="59"/>
      <c r="J33" s="59"/>
      <c r="K33" s="59"/>
      <c r="L33" s="59"/>
      <c r="M33" s="59"/>
      <c r="N33" s="59"/>
      <c r="O33" s="59"/>
      <c r="P33" s="59"/>
      <c r="Q33" s="59"/>
      <c r="R33" s="59"/>
      <c r="S33" s="59"/>
      <c r="T33" s="59"/>
    </row>
    <row r="34" spans="1:20" ht="15.75" thickBot="1" x14ac:dyDescent="0.3">
      <c r="B34" s="181"/>
      <c r="C34" s="15" t="s">
        <v>139</v>
      </c>
      <c r="D34" s="15"/>
      <c r="E34" s="15"/>
      <c r="F34" s="201">
        <f ca="1">F30+F31+F32-F33</f>
        <v>712777.26923076925</v>
      </c>
      <c r="G34" s="202" t="s">
        <v>25</v>
      </c>
      <c r="H34" s="183"/>
    </row>
    <row r="35" spans="1:20" ht="15.75" thickTop="1" x14ac:dyDescent="0.25">
      <c r="B35" s="190"/>
      <c r="C35" s="156"/>
      <c r="D35" s="156"/>
      <c r="E35" s="156"/>
      <c r="F35" s="156"/>
      <c r="G35" s="156"/>
      <c r="H35" s="192"/>
    </row>
    <row r="36" spans="1:20" s="59" customFormat="1" x14ac:dyDescent="0.25"/>
    <row r="37" spans="1:20" s="59" customFormat="1" x14ac:dyDescent="0.25"/>
    <row r="38" spans="1:20" s="59" customFormat="1" x14ac:dyDescent="0.25"/>
    <row r="39" spans="1:20" s="59" customFormat="1" x14ac:dyDescent="0.25"/>
    <row r="40" spans="1:20" s="59" customFormat="1" x14ac:dyDescent="0.25"/>
    <row r="41" spans="1:20" s="59" customFormat="1" x14ac:dyDescent="0.25"/>
    <row r="42" spans="1:20" s="59" customFormat="1" x14ac:dyDescent="0.25"/>
    <row r="43" spans="1:20" s="59" customFormat="1" x14ac:dyDescent="0.25"/>
    <row r="44" spans="1:20" s="59" customFormat="1" x14ac:dyDescent="0.25"/>
    <row r="45" spans="1:20" s="59" customFormat="1" x14ac:dyDescent="0.25"/>
    <row r="46" spans="1:20" s="59" customFormat="1" x14ac:dyDescent="0.25"/>
    <row r="47" spans="1:20" s="59" customFormat="1" x14ac:dyDescent="0.25"/>
    <row r="48" spans="1:20" s="59" customFormat="1" x14ac:dyDescent="0.25"/>
    <row r="49" s="59" customFormat="1" x14ac:dyDescent="0.25"/>
    <row r="50" s="59" customFormat="1" x14ac:dyDescent="0.25"/>
    <row r="51" s="59" customFormat="1" x14ac:dyDescent="0.25"/>
    <row r="52" s="59" customFormat="1" x14ac:dyDescent="0.25"/>
    <row r="53" s="59" customFormat="1" x14ac:dyDescent="0.25"/>
    <row r="54" s="59" customFormat="1" x14ac:dyDescent="0.25"/>
    <row r="55" s="59" customFormat="1" x14ac:dyDescent="0.25"/>
    <row r="56" s="59" customFormat="1" x14ac:dyDescent="0.25"/>
    <row r="57" s="59" customFormat="1" x14ac:dyDescent="0.25"/>
    <row r="58" s="59" customFormat="1" x14ac:dyDescent="0.25"/>
  </sheetData>
  <protectedRanges>
    <protectedRange sqref="C4 C6" name="Rango1"/>
  </protectedRanges>
  <mergeCells count="13">
    <mergeCell ref="C16:E16"/>
    <mergeCell ref="C4:D4"/>
    <mergeCell ref="C5:D5"/>
    <mergeCell ref="C6:D6"/>
    <mergeCell ref="C29:E29"/>
    <mergeCell ref="C17:E17"/>
    <mergeCell ref="C30:E30"/>
    <mergeCell ref="C19:G20"/>
    <mergeCell ref="C24:G25"/>
    <mergeCell ref="C27:E27"/>
    <mergeCell ref="C32:E32"/>
    <mergeCell ref="F29:G29"/>
    <mergeCell ref="C31:E31"/>
  </mergeCells>
  <conditionalFormatting sqref="C6:D8">
    <cfRule type="expression" dxfId="1" priority="2" stopIfTrue="1">
      <formula>$C$4="Despido"</formula>
    </cfRule>
  </conditionalFormatting>
  <conditionalFormatting sqref="C5:D5">
    <cfRule type="expression" dxfId="0" priority="1" stopIfTrue="1">
      <formula>$C$4="Despido"</formula>
    </cfRule>
  </conditionalFormatting>
  <dataValidations disablePrompts="1" count="2">
    <dataValidation type="list" allowBlank="1" showInputMessage="1" showErrorMessage="1" sqref="C4:D4">
      <formula1>"Renuncia,Despido"</formula1>
    </dataValidation>
    <dataValidation type="list" allowBlank="1" showInputMessage="1" showErrorMessage="1" sqref="C6:D8">
      <formula1>"Justificado,Injustificado"</formula1>
    </dataValidation>
  </dataValidations>
  <hyperlinks>
    <hyperlink ref="I2" location="Main!A1" display="Volver"/>
  </hyperlinks>
  <pageMargins left="0.7" right="0.7" top="0.75" bottom="0.75" header="0.3" footer="0.3"/>
  <pageSetup orientation="portrait" r:id="rId1"/>
  <legacy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dimension ref="B4:B11"/>
  <sheetViews>
    <sheetView showGridLines="0" showRowColHeaders="0" zoomScale="70" zoomScaleNormal="70" workbookViewId="0">
      <selection activeCell="G20" sqref="G20"/>
    </sheetView>
  </sheetViews>
  <sheetFormatPr baseColWidth="10" defaultColWidth="9.140625" defaultRowHeight="15" x14ac:dyDescent="0.25"/>
  <sheetData>
    <row r="4" spans="2:2" x14ac:dyDescent="0.25">
      <c r="B4" t="s">
        <v>156</v>
      </c>
    </row>
    <row r="5" spans="2:2" x14ac:dyDescent="0.25">
      <c r="B5" t="s">
        <v>158</v>
      </c>
    </row>
    <row r="6" spans="2:2" x14ac:dyDescent="0.25">
      <c r="B6" s="212">
        <v>2012</v>
      </c>
    </row>
    <row r="7" spans="2:2" x14ac:dyDescent="0.25">
      <c r="B7" s="163" t="s">
        <v>44</v>
      </c>
    </row>
    <row r="11" spans="2:2" x14ac:dyDescent="0.25">
      <c r="B11" t="s">
        <v>160</v>
      </c>
    </row>
  </sheetData>
  <hyperlinks>
    <hyperlink ref="B7" r:id="rId1"/>
  </hyperlinks>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6"/>
  <dimension ref="A2:M33"/>
  <sheetViews>
    <sheetView showGridLines="0" workbookViewId="0">
      <selection activeCell="M2" sqref="M2"/>
    </sheetView>
  </sheetViews>
  <sheetFormatPr baseColWidth="10" defaultRowHeight="15" x14ac:dyDescent="0.25"/>
  <cols>
    <col min="1" max="1" width="4.140625" style="87" customWidth="1"/>
    <col min="2" max="2" width="2.85546875" customWidth="1"/>
    <col min="3" max="3" width="12.5703125" customWidth="1"/>
    <col min="4" max="4" width="11.85546875" style="87" customWidth="1"/>
    <col min="5" max="5" width="12.7109375" customWidth="1"/>
    <col min="6" max="6" width="13" customWidth="1"/>
    <col min="7" max="8" width="12.85546875" customWidth="1"/>
    <col min="14" max="14" width="2.85546875" customWidth="1"/>
  </cols>
  <sheetData>
    <row r="2" spans="3:13" x14ac:dyDescent="0.25">
      <c r="C2" s="509" t="s">
        <v>172</v>
      </c>
      <c r="D2" s="509"/>
      <c r="E2" s="278">
        <f>Main!C14/30/8</f>
        <v>169.32499999999999</v>
      </c>
      <c r="M2" s="163" t="s">
        <v>87</v>
      </c>
    </row>
    <row r="3" spans="3:13" s="87" customFormat="1" x14ac:dyDescent="0.25">
      <c r="C3" s="509" t="s">
        <v>187</v>
      </c>
      <c r="D3" s="509"/>
      <c r="E3" s="279">
        <v>0.79166666666666663</v>
      </c>
    </row>
    <row r="4" spans="3:13" s="87" customFormat="1" x14ac:dyDescent="0.25">
      <c r="C4" s="249"/>
      <c r="D4" s="251"/>
    </row>
    <row r="5" spans="3:13" s="87" customFormat="1" x14ac:dyDescent="0.25">
      <c r="C5" s="254" t="s">
        <v>192</v>
      </c>
      <c r="D5" s="254" t="s">
        <v>183</v>
      </c>
      <c r="E5" s="254" t="s">
        <v>184</v>
      </c>
      <c r="M5" s="249"/>
    </row>
    <row r="6" spans="3:13" s="87" customFormat="1" x14ac:dyDescent="0.25">
      <c r="C6" s="260" t="s">
        <v>193</v>
      </c>
      <c r="D6" s="261">
        <v>0.25</v>
      </c>
      <c r="E6" s="261">
        <v>0.58333333333333337</v>
      </c>
      <c r="I6" s="249" t="s">
        <v>205</v>
      </c>
      <c r="J6" s="268">
        <v>0.5</v>
      </c>
    </row>
    <row r="7" spans="3:13" s="87" customFormat="1" x14ac:dyDescent="0.25">
      <c r="C7" s="260" t="s">
        <v>194</v>
      </c>
      <c r="D7" s="261">
        <v>0.58333333333333337</v>
      </c>
      <c r="E7" s="261">
        <v>0.91666666666666663</v>
      </c>
      <c r="I7" s="249" t="s">
        <v>206</v>
      </c>
      <c r="J7" s="268">
        <v>0.3</v>
      </c>
    </row>
    <row r="8" spans="3:13" s="87" customFormat="1" x14ac:dyDescent="0.25">
      <c r="C8" s="260" t="s">
        <v>195</v>
      </c>
      <c r="D8" s="261">
        <v>0.91666666666666663</v>
      </c>
      <c r="E8" s="261">
        <v>0.25</v>
      </c>
      <c r="I8" s="249" t="s">
        <v>207</v>
      </c>
      <c r="J8" s="268">
        <v>0.5</v>
      </c>
    </row>
    <row r="9" spans="3:13" s="87" customFormat="1" x14ac:dyDescent="0.25">
      <c r="F9" s="249"/>
      <c r="G9" s="250"/>
    </row>
    <row r="10" spans="3:13" s="87" customFormat="1" x14ac:dyDescent="0.25">
      <c r="F10" s="248"/>
    </row>
    <row r="11" spans="3:13" ht="53.25" customHeight="1" x14ac:dyDescent="0.25">
      <c r="C11" s="254" t="s">
        <v>201</v>
      </c>
      <c r="D11" s="254" t="s">
        <v>185</v>
      </c>
      <c r="E11" s="254" t="s">
        <v>177</v>
      </c>
      <c r="F11" s="254" t="s">
        <v>178</v>
      </c>
      <c r="G11" s="256" t="s">
        <v>179</v>
      </c>
      <c r="H11" s="256" t="s">
        <v>189</v>
      </c>
      <c r="I11" s="254" t="s">
        <v>188</v>
      </c>
      <c r="J11" s="254" t="s">
        <v>180</v>
      </c>
      <c r="K11" s="254" t="s">
        <v>181</v>
      </c>
      <c r="L11" s="254" t="s">
        <v>182</v>
      </c>
      <c r="M11" s="254" t="s">
        <v>190</v>
      </c>
    </row>
    <row r="12" spans="3:13" x14ac:dyDescent="0.25">
      <c r="C12" s="156" t="s">
        <v>173</v>
      </c>
      <c r="D12" s="253" t="s">
        <v>193</v>
      </c>
      <c r="E12" s="252">
        <v>0.25</v>
      </c>
      <c r="F12" s="252">
        <v>0.91666666666666663</v>
      </c>
      <c r="G12" s="296">
        <v>1</v>
      </c>
      <c r="H12" s="253" t="s">
        <v>186</v>
      </c>
      <c r="I12" s="255">
        <f>horad(D12,E12,F12,$E$3,$D$6,$E$6,$D$7,$E$7,$D$8,$E$8,G12,H12)</f>
        <v>7</v>
      </c>
      <c r="J12" s="255">
        <f t="shared" ref="J12:J18" si="0">horade(D12,E12,F12,$E$3,$D$6,$E$6,$D$7,$E$7,$D$8,$E$8)</f>
        <v>4.9999999999999982</v>
      </c>
      <c r="K12" s="255">
        <f>horan(D12,E12,F12,$E$3,$D$6,$E$6,$D$7,$E$7,$D$8,$E$8,G12,H12)</f>
        <v>0</v>
      </c>
      <c r="L12" s="255">
        <f t="shared" ref="L12:L18" si="1">horaen(D12,E12,F12,$E$3,$D$6,$E$6,$D$7,$E$7,$D$8,$E$8)</f>
        <v>3</v>
      </c>
      <c r="M12" s="258">
        <f>I12+J12+K12+L12</f>
        <v>14.999999999999998</v>
      </c>
    </row>
    <row r="13" spans="3:13" x14ac:dyDescent="0.25">
      <c r="C13" s="156" t="s">
        <v>174</v>
      </c>
      <c r="D13" s="253" t="s">
        <v>193</v>
      </c>
      <c r="E13" s="252">
        <v>0.25</v>
      </c>
      <c r="F13" s="252">
        <v>0.625</v>
      </c>
      <c r="G13" s="296">
        <v>1</v>
      </c>
      <c r="H13" s="253" t="s">
        <v>186</v>
      </c>
      <c r="I13" s="255">
        <f t="shared" ref="I13:I18" si="2">horad(D13,E13,F13,$E$3,$D$6,$E$6,$D$7,$E$7,$D$8,$E$8,G13,H13)</f>
        <v>7</v>
      </c>
      <c r="J13" s="255">
        <f t="shared" si="0"/>
        <v>0.99999999999999911</v>
      </c>
      <c r="K13" s="255">
        <f t="shared" ref="K13:K18" si="3">horan(D13,E13,F13,$E$3,$D$6,$E$6,$D$7,$E$7,$D$8,$E$8,G13,H13)</f>
        <v>0</v>
      </c>
      <c r="L13" s="255">
        <f t="shared" si="1"/>
        <v>0</v>
      </c>
      <c r="M13" s="258">
        <f t="shared" ref="M13:M18" si="4">I13+J13+K13+L13</f>
        <v>7.9999999999999991</v>
      </c>
    </row>
    <row r="14" spans="3:13" x14ac:dyDescent="0.25">
      <c r="C14" s="156" t="s">
        <v>199</v>
      </c>
      <c r="D14" s="253" t="s">
        <v>194</v>
      </c>
      <c r="E14" s="252">
        <v>0.58333333333333337</v>
      </c>
      <c r="F14" s="252">
        <v>4.1666666666666664E-2</v>
      </c>
      <c r="G14" s="296">
        <v>1</v>
      </c>
      <c r="H14" s="253" t="s">
        <v>215</v>
      </c>
      <c r="I14" s="255">
        <f t="shared" si="2"/>
        <v>4.9999999999999982</v>
      </c>
      <c r="J14" s="255">
        <f t="shared" si="0"/>
        <v>0</v>
      </c>
      <c r="K14" s="255">
        <f t="shared" si="3"/>
        <v>2</v>
      </c>
      <c r="L14" s="255">
        <f t="shared" si="1"/>
        <v>3.0000000000000027</v>
      </c>
      <c r="M14" s="258">
        <f t="shared" si="4"/>
        <v>10</v>
      </c>
    </row>
    <row r="15" spans="3:13" x14ac:dyDescent="0.25">
      <c r="C15" s="156" t="s">
        <v>175</v>
      </c>
      <c r="D15" s="253" t="s">
        <v>193</v>
      </c>
      <c r="E15" s="252">
        <v>0.25</v>
      </c>
      <c r="F15" s="252">
        <v>0.91666666666666663</v>
      </c>
      <c r="G15" s="296">
        <v>1</v>
      </c>
      <c r="H15" s="253" t="s">
        <v>186</v>
      </c>
      <c r="I15" s="255">
        <f t="shared" si="2"/>
        <v>7</v>
      </c>
      <c r="J15" s="255">
        <f t="shared" si="0"/>
        <v>4.9999999999999982</v>
      </c>
      <c r="K15" s="255">
        <f t="shared" si="3"/>
        <v>0</v>
      </c>
      <c r="L15" s="255">
        <f t="shared" si="1"/>
        <v>3</v>
      </c>
      <c r="M15" s="258">
        <f t="shared" si="4"/>
        <v>14.999999999999998</v>
      </c>
    </row>
    <row r="16" spans="3:13" x14ac:dyDescent="0.25">
      <c r="C16" s="156" t="s">
        <v>176</v>
      </c>
      <c r="D16" s="253" t="s">
        <v>193</v>
      </c>
      <c r="E16" s="252">
        <v>0.25</v>
      </c>
      <c r="F16" s="252">
        <v>0.83333333333333337</v>
      </c>
      <c r="G16" s="296">
        <v>1</v>
      </c>
      <c r="H16" s="253" t="s">
        <v>186</v>
      </c>
      <c r="I16" s="255">
        <f t="shared" si="2"/>
        <v>7</v>
      </c>
      <c r="J16" s="255">
        <f t="shared" si="0"/>
        <v>4.9999999999999982</v>
      </c>
      <c r="K16" s="255">
        <f t="shared" si="3"/>
        <v>0</v>
      </c>
      <c r="L16" s="255">
        <f t="shared" si="1"/>
        <v>1.0000000000000018</v>
      </c>
      <c r="M16" s="258">
        <f t="shared" si="4"/>
        <v>13</v>
      </c>
    </row>
    <row r="17" spans="3:13" x14ac:dyDescent="0.25">
      <c r="C17" s="69" t="s">
        <v>200</v>
      </c>
      <c r="D17" s="264" t="s">
        <v>193</v>
      </c>
      <c r="E17" s="265">
        <v>0.25</v>
      </c>
      <c r="F17" s="265">
        <v>0.58333333333333337</v>
      </c>
      <c r="G17" s="297">
        <v>1</v>
      </c>
      <c r="H17" s="264" t="s">
        <v>186</v>
      </c>
      <c r="I17" s="255">
        <f t="shared" si="2"/>
        <v>7</v>
      </c>
      <c r="J17" s="266">
        <f t="shared" si="0"/>
        <v>0</v>
      </c>
      <c r="K17" s="255">
        <f t="shared" si="3"/>
        <v>0</v>
      </c>
      <c r="L17" s="266">
        <f t="shared" si="1"/>
        <v>0</v>
      </c>
      <c r="M17" s="267">
        <f t="shared" si="4"/>
        <v>7</v>
      </c>
    </row>
    <row r="18" spans="3:13" x14ac:dyDescent="0.25">
      <c r="C18" s="69" t="s">
        <v>204</v>
      </c>
      <c r="D18" s="264"/>
      <c r="E18" s="265"/>
      <c r="F18" s="265"/>
      <c r="G18" s="297"/>
      <c r="H18" s="264"/>
      <c r="I18" s="255">
        <f t="shared" si="2"/>
        <v>0</v>
      </c>
      <c r="J18" s="266">
        <f t="shared" si="0"/>
        <v>0</v>
      </c>
      <c r="K18" s="255">
        <f t="shared" si="3"/>
        <v>0</v>
      </c>
      <c r="L18" s="266">
        <f t="shared" si="1"/>
        <v>0</v>
      </c>
      <c r="M18" s="267">
        <f t="shared" si="4"/>
        <v>0</v>
      </c>
    </row>
    <row r="19" spans="3:13" x14ac:dyDescent="0.25">
      <c r="H19" s="259" t="s">
        <v>191</v>
      </c>
      <c r="I19" s="257">
        <f>SUM(I12:I18)</f>
        <v>40</v>
      </c>
      <c r="J19" s="257">
        <f>SUM(J12:J18)</f>
        <v>15.999999999999995</v>
      </c>
      <c r="K19" s="257">
        <f>SUM(K12:K18)</f>
        <v>2</v>
      </c>
      <c r="L19" s="257">
        <f>SUM(L12:L18)</f>
        <v>10.000000000000005</v>
      </c>
    </row>
    <row r="21" spans="3:13" ht="19.5" thickBot="1" x14ac:dyDescent="0.35">
      <c r="I21" s="74"/>
      <c r="J21" s="275"/>
      <c r="K21" s="276" t="s">
        <v>202</v>
      </c>
      <c r="L21" s="277">
        <f>SUM(I19:L19)</f>
        <v>68</v>
      </c>
      <c r="M21" s="277" t="s">
        <v>203</v>
      </c>
    </row>
    <row r="22" spans="3:13" ht="15.75" thickTop="1" x14ac:dyDescent="0.25"/>
    <row r="23" spans="3:13" ht="45" x14ac:dyDescent="0.25">
      <c r="C23" s="269" t="s">
        <v>92</v>
      </c>
      <c r="D23" s="269" t="s">
        <v>208</v>
      </c>
      <c r="E23" s="269" t="s">
        <v>188</v>
      </c>
      <c r="F23" s="269" t="s">
        <v>180</v>
      </c>
      <c r="G23" s="269" t="s">
        <v>181</v>
      </c>
      <c r="H23" s="269" t="s">
        <v>182</v>
      </c>
      <c r="I23" s="269" t="s">
        <v>210</v>
      </c>
    </row>
    <row r="24" spans="3:13" x14ac:dyDescent="0.25">
      <c r="C24" s="270" t="s">
        <v>173</v>
      </c>
      <c r="D24" s="272" t="s">
        <v>41</v>
      </c>
      <c r="E24" s="274">
        <f>IF(D24="NO",$E$2*I12,$E$2*I12*(1+$J$8))</f>
        <v>1777.9124999999999</v>
      </c>
      <c r="F24" s="274">
        <f>IF(D24="NO",$E$2*(1+$J$6)*J12,$E$2*(1+$J$6)*J12*(1+$J$8))</f>
        <v>1904.9062499999993</v>
      </c>
      <c r="G24" s="274">
        <f>IF(D24="NO",$E$2*(1+$J$7)*K12,$E$2*(1+$J$7)*K12*(1+$J$8))</f>
        <v>0</v>
      </c>
      <c r="H24" s="274">
        <f>IF(D24="NO",$E$2*(1+$J$6+$J$7)*L12,$E$2*(1+$J$6+$J$7)*L12*(1+$J$8))</f>
        <v>1371.5324999999998</v>
      </c>
      <c r="I24" s="274">
        <f>SUM(E24:H24)</f>
        <v>5054.3512499999997</v>
      </c>
    </row>
    <row r="25" spans="3:13" x14ac:dyDescent="0.25">
      <c r="C25" s="270" t="s">
        <v>174</v>
      </c>
      <c r="D25" s="272" t="s">
        <v>209</v>
      </c>
      <c r="E25" s="274">
        <f t="shared" ref="E25:E30" si="5">IF(D25="NO",$E$2*I13,$E$2*I13*(1+$J$8))</f>
        <v>1185.2749999999999</v>
      </c>
      <c r="F25" s="274">
        <f t="shared" ref="F25:F30" si="6">IF(D25="NO",$E$2*(1+$J$6)*J13,$E$2*(1+$J$6)*J13*(1+$J$8))</f>
        <v>253.98749999999976</v>
      </c>
      <c r="G25" s="274">
        <f t="shared" ref="G25:G30" si="7">IF(D25="NO",$E$2*(1+$J$7)*K13,$E$2*(1+$J$7)*K13*(1+$J$8))</f>
        <v>0</v>
      </c>
      <c r="H25" s="274">
        <f t="shared" ref="H25:H30" si="8">IF(D25="NO",$E$2*(1+$J$6+$J$7)*L13,$E$2*(1+$J$6+$J$7)*L13*(1+$J$8))</f>
        <v>0</v>
      </c>
      <c r="I25" s="274">
        <f t="shared" ref="I25:I30" si="9">SUM(E25:H25)</f>
        <v>1439.2624999999996</v>
      </c>
    </row>
    <row r="26" spans="3:13" x14ac:dyDescent="0.25">
      <c r="C26" s="270" t="s">
        <v>199</v>
      </c>
      <c r="D26" s="272" t="s">
        <v>209</v>
      </c>
      <c r="E26" s="274">
        <f t="shared" si="5"/>
        <v>846.62499999999966</v>
      </c>
      <c r="F26" s="274">
        <f t="shared" si="6"/>
        <v>0</v>
      </c>
      <c r="G26" s="274">
        <f t="shared" si="7"/>
        <v>440.245</v>
      </c>
      <c r="H26" s="274">
        <f t="shared" si="8"/>
        <v>914.3550000000007</v>
      </c>
      <c r="I26" s="274">
        <f t="shared" si="9"/>
        <v>2201.2250000000004</v>
      </c>
    </row>
    <row r="27" spans="3:13" x14ac:dyDescent="0.25">
      <c r="C27" s="270" t="s">
        <v>175</v>
      </c>
      <c r="D27" s="272" t="s">
        <v>209</v>
      </c>
      <c r="E27" s="274">
        <f t="shared" si="5"/>
        <v>1185.2749999999999</v>
      </c>
      <c r="F27" s="274">
        <f t="shared" si="6"/>
        <v>1269.9374999999995</v>
      </c>
      <c r="G27" s="274">
        <f t="shared" si="7"/>
        <v>0</v>
      </c>
      <c r="H27" s="274">
        <f t="shared" si="8"/>
        <v>914.3549999999999</v>
      </c>
      <c r="I27" s="274">
        <f t="shared" si="9"/>
        <v>3369.5674999999997</v>
      </c>
    </row>
    <row r="28" spans="3:13" x14ac:dyDescent="0.25">
      <c r="C28" s="270" t="s">
        <v>176</v>
      </c>
      <c r="D28" s="272" t="s">
        <v>209</v>
      </c>
      <c r="E28" s="274">
        <f t="shared" si="5"/>
        <v>1185.2749999999999</v>
      </c>
      <c r="F28" s="274">
        <f t="shared" si="6"/>
        <v>1269.9374999999995</v>
      </c>
      <c r="G28" s="274">
        <f t="shared" si="7"/>
        <v>0</v>
      </c>
      <c r="H28" s="274">
        <f t="shared" si="8"/>
        <v>304.78500000000054</v>
      </c>
      <c r="I28" s="274">
        <f t="shared" si="9"/>
        <v>2759.9975000000004</v>
      </c>
    </row>
    <row r="29" spans="3:13" x14ac:dyDescent="0.25">
      <c r="C29" s="271" t="s">
        <v>200</v>
      </c>
      <c r="D29" s="272" t="s">
        <v>41</v>
      </c>
      <c r="E29" s="274">
        <f t="shared" si="5"/>
        <v>1777.9124999999999</v>
      </c>
      <c r="F29" s="274">
        <f t="shared" si="6"/>
        <v>0</v>
      </c>
      <c r="G29" s="274">
        <f t="shared" si="7"/>
        <v>0</v>
      </c>
      <c r="H29" s="274">
        <f t="shared" si="8"/>
        <v>0</v>
      </c>
      <c r="I29" s="274">
        <f t="shared" si="9"/>
        <v>1777.9124999999999</v>
      </c>
    </row>
    <row r="30" spans="3:13" x14ac:dyDescent="0.25">
      <c r="C30" s="271" t="s">
        <v>204</v>
      </c>
      <c r="D30" s="273" t="s">
        <v>41</v>
      </c>
      <c r="E30" s="274">
        <f t="shared" si="5"/>
        <v>0</v>
      </c>
      <c r="F30" s="274">
        <f t="shared" si="6"/>
        <v>0</v>
      </c>
      <c r="G30" s="274">
        <f t="shared" si="7"/>
        <v>0</v>
      </c>
      <c r="H30" s="274">
        <f t="shared" si="8"/>
        <v>0</v>
      </c>
      <c r="I30" s="274">
        <f t="shared" si="9"/>
        <v>0</v>
      </c>
    </row>
    <row r="32" spans="3:13" ht="19.5" thickBot="1" x14ac:dyDescent="0.35">
      <c r="I32" s="74"/>
      <c r="J32" s="276" t="s">
        <v>202</v>
      </c>
      <c r="K32" s="510">
        <f>SUM(I24:I30)</f>
        <v>16602.316249999996</v>
      </c>
      <c r="L32" s="510"/>
      <c r="M32" s="277" t="s">
        <v>25</v>
      </c>
    </row>
    <row r="33" ht="15.75" thickTop="1" x14ac:dyDescent="0.25"/>
  </sheetData>
  <sheetProtection sheet="1"/>
  <protectedRanges>
    <protectedRange sqref="D24:D29" name="Feriado"/>
    <protectedRange sqref="D12:H18" name="Semana"/>
    <protectedRange sqref="J6:J8" name="porcentajes"/>
    <protectedRange sqref="E2:E3" name="Sueldo hora y hora nocturna"/>
    <protectedRange sqref="D6:E8" name="Turnos"/>
  </protectedRanges>
  <mergeCells count="3">
    <mergeCell ref="C2:D2"/>
    <mergeCell ref="C3:D3"/>
    <mergeCell ref="K32:L32"/>
  </mergeCells>
  <dataValidations count="3">
    <dataValidation type="list" allowBlank="1" showInputMessage="1" showErrorMessage="1" sqref="H12:H18">
      <formula1>"Diurna,Nocturna"</formula1>
    </dataValidation>
    <dataValidation type="list" allowBlank="1" showInputMessage="1" showErrorMessage="1" sqref="D12:D18">
      <formula1>"T1,T2,T3"</formula1>
    </dataValidation>
    <dataValidation type="list" allowBlank="1" showInputMessage="1" showErrorMessage="1" sqref="D24:D29">
      <formula1>"SI,NO"</formula1>
    </dataValidation>
  </dataValidations>
  <hyperlinks>
    <hyperlink ref="M2" location="Sueldo!A1" display="VOLVER"/>
  </hyperlinks>
  <pageMargins left="0.7" right="0.7" top="0.75" bottom="0.75" header="0.3" footer="0.3"/>
  <pageSetup orientation="portrait" r:id="rId1"/>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dimension ref="A3:B14"/>
  <sheetViews>
    <sheetView workbookViewId="0">
      <selection activeCell="A15" sqref="A15"/>
    </sheetView>
  </sheetViews>
  <sheetFormatPr baseColWidth="10" defaultColWidth="9.140625" defaultRowHeight="15" x14ac:dyDescent="0.25"/>
  <sheetData>
    <row r="3" spans="1:2" x14ac:dyDescent="0.25">
      <c r="A3">
        <v>1</v>
      </c>
      <c r="B3" t="s">
        <v>5</v>
      </c>
    </row>
    <row r="4" spans="1:2" x14ac:dyDescent="0.25">
      <c r="A4">
        <v>2</v>
      </c>
      <c r="B4" t="s">
        <v>6</v>
      </c>
    </row>
    <row r="5" spans="1:2" x14ac:dyDescent="0.25">
      <c r="A5">
        <v>3</v>
      </c>
      <c r="B5" t="s">
        <v>7</v>
      </c>
    </row>
    <row r="6" spans="1:2" x14ac:dyDescent="0.25">
      <c r="A6">
        <v>4</v>
      </c>
      <c r="B6" t="s">
        <v>8</v>
      </c>
    </row>
    <row r="7" spans="1:2" x14ac:dyDescent="0.25">
      <c r="A7">
        <v>5</v>
      </c>
      <c r="B7" t="s">
        <v>9</v>
      </c>
    </row>
    <row r="8" spans="1:2" x14ac:dyDescent="0.25">
      <c r="A8">
        <v>6</v>
      </c>
      <c r="B8" t="s">
        <v>10</v>
      </c>
    </row>
    <row r="9" spans="1:2" x14ac:dyDescent="0.25">
      <c r="A9">
        <v>7</v>
      </c>
      <c r="B9" t="s">
        <v>11</v>
      </c>
    </row>
    <row r="10" spans="1:2" x14ac:dyDescent="0.25">
      <c r="A10">
        <v>8</v>
      </c>
      <c r="B10" t="s">
        <v>12</v>
      </c>
    </row>
    <row r="11" spans="1:2" x14ac:dyDescent="0.25">
      <c r="A11">
        <v>9</v>
      </c>
      <c r="B11" t="s">
        <v>13</v>
      </c>
    </row>
    <row r="12" spans="1:2" x14ac:dyDescent="0.25">
      <c r="A12">
        <v>10</v>
      </c>
      <c r="B12" t="s">
        <v>14</v>
      </c>
    </row>
    <row r="13" spans="1:2" x14ac:dyDescent="0.25">
      <c r="A13">
        <v>11</v>
      </c>
      <c r="B13" t="s">
        <v>15</v>
      </c>
    </row>
    <row r="14" spans="1:2" x14ac:dyDescent="0.25">
      <c r="A14">
        <v>12</v>
      </c>
      <c r="B14" t="s">
        <v>16</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dimension ref="A1:C36"/>
  <sheetViews>
    <sheetView showGridLines="0" workbookViewId="0">
      <selection activeCell="C38" sqref="C38"/>
    </sheetView>
  </sheetViews>
  <sheetFormatPr baseColWidth="10" defaultColWidth="9.140625" defaultRowHeight="12.75" x14ac:dyDescent="0.2"/>
  <cols>
    <col min="1" max="2" width="11.42578125" style="113" customWidth="1"/>
    <col min="3" max="4" width="6.7109375" style="113" customWidth="1"/>
    <col min="5" max="16384" width="9.140625" style="113"/>
  </cols>
  <sheetData>
    <row r="1" spans="1:3" x14ac:dyDescent="0.2">
      <c r="A1" s="113" t="s">
        <v>91</v>
      </c>
      <c r="B1" s="113">
        <f ca="1">YEAR(Main!C6)</f>
        <v>2017</v>
      </c>
    </row>
    <row r="2" spans="1:3" x14ac:dyDescent="0.2">
      <c r="A2" s="113" t="s">
        <v>1</v>
      </c>
      <c r="B2" s="113">
        <f ca="1">MONTH(Main!C6)</f>
        <v>1</v>
      </c>
    </row>
    <row r="3" spans="1:3" x14ac:dyDescent="0.2">
      <c r="A3" s="113" t="s">
        <v>92</v>
      </c>
    </row>
    <row r="4" spans="1:3" x14ac:dyDescent="0.2">
      <c r="A4" s="113">
        <v>1</v>
      </c>
      <c r="B4" s="114" t="str">
        <f ca="1">A4&amp;"/"&amp;B2&amp;"/"&amp;B1</f>
        <v>1/1/2017</v>
      </c>
      <c r="C4" s="113">
        <f ca="1">IF(MONTH(B4=$B$2),IF(WEEKDAY(B4)=2,1,0),0)</f>
        <v>0</v>
      </c>
    </row>
    <row r="5" spans="1:3" x14ac:dyDescent="0.2">
      <c r="A5" s="113">
        <v>2</v>
      </c>
      <c r="B5" s="114">
        <f ca="1">B4+1</f>
        <v>42737</v>
      </c>
      <c r="C5" s="113">
        <f t="shared" ref="C5:C34" ca="1" si="0">IF(MONTH(B5=$B$2),IF(WEEKDAY(B5)=2,1,0),0)</f>
        <v>1</v>
      </c>
    </row>
    <row r="6" spans="1:3" x14ac:dyDescent="0.2">
      <c r="A6" s="113">
        <v>3</v>
      </c>
      <c r="B6" s="114">
        <f t="shared" ref="B6:B34" ca="1" si="1">B5+1</f>
        <v>42738</v>
      </c>
      <c r="C6" s="113">
        <f t="shared" ca="1" si="0"/>
        <v>0</v>
      </c>
    </row>
    <row r="7" spans="1:3" x14ac:dyDescent="0.2">
      <c r="A7" s="113">
        <v>4</v>
      </c>
      <c r="B7" s="114">
        <f t="shared" ca="1" si="1"/>
        <v>42739</v>
      </c>
      <c r="C7" s="113">
        <f t="shared" ca="1" si="0"/>
        <v>0</v>
      </c>
    </row>
    <row r="8" spans="1:3" x14ac:dyDescent="0.2">
      <c r="A8" s="113">
        <v>5</v>
      </c>
      <c r="B8" s="114">
        <f t="shared" ca="1" si="1"/>
        <v>42740</v>
      </c>
      <c r="C8" s="113">
        <f t="shared" ca="1" si="0"/>
        <v>0</v>
      </c>
    </row>
    <row r="9" spans="1:3" x14ac:dyDescent="0.2">
      <c r="A9" s="113">
        <v>6</v>
      </c>
      <c r="B9" s="114">
        <f t="shared" ca="1" si="1"/>
        <v>42741</v>
      </c>
      <c r="C9" s="113">
        <f t="shared" ca="1" si="0"/>
        <v>0</v>
      </c>
    </row>
    <row r="10" spans="1:3" x14ac:dyDescent="0.2">
      <c r="A10" s="113">
        <v>7</v>
      </c>
      <c r="B10" s="114">
        <f t="shared" ca="1" si="1"/>
        <v>42742</v>
      </c>
      <c r="C10" s="113">
        <f t="shared" ca="1" si="0"/>
        <v>0</v>
      </c>
    </row>
    <row r="11" spans="1:3" x14ac:dyDescent="0.2">
      <c r="A11" s="113">
        <v>8</v>
      </c>
      <c r="B11" s="114">
        <f t="shared" ca="1" si="1"/>
        <v>42743</v>
      </c>
      <c r="C11" s="113">
        <f t="shared" ca="1" si="0"/>
        <v>0</v>
      </c>
    </row>
    <row r="12" spans="1:3" x14ac:dyDescent="0.2">
      <c r="A12" s="113">
        <v>9</v>
      </c>
      <c r="B12" s="114">
        <f t="shared" ca="1" si="1"/>
        <v>42744</v>
      </c>
      <c r="C12" s="113">
        <f t="shared" ca="1" si="0"/>
        <v>1</v>
      </c>
    </row>
    <row r="13" spans="1:3" x14ac:dyDescent="0.2">
      <c r="A13" s="113">
        <v>10</v>
      </c>
      <c r="B13" s="114">
        <f t="shared" ca="1" si="1"/>
        <v>42745</v>
      </c>
      <c r="C13" s="113">
        <f t="shared" ca="1" si="0"/>
        <v>0</v>
      </c>
    </row>
    <row r="14" spans="1:3" x14ac:dyDescent="0.2">
      <c r="A14" s="113">
        <v>11</v>
      </c>
      <c r="B14" s="114">
        <f t="shared" ca="1" si="1"/>
        <v>42746</v>
      </c>
      <c r="C14" s="113">
        <f t="shared" ca="1" si="0"/>
        <v>0</v>
      </c>
    </row>
    <row r="15" spans="1:3" x14ac:dyDescent="0.2">
      <c r="A15" s="113">
        <v>12</v>
      </c>
      <c r="B15" s="114">
        <f t="shared" ca="1" si="1"/>
        <v>42747</v>
      </c>
      <c r="C15" s="113">
        <f t="shared" ca="1" si="0"/>
        <v>0</v>
      </c>
    </row>
    <row r="16" spans="1:3" x14ac:dyDescent="0.2">
      <c r="A16" s="113">
        <v>13</v>
      </c>
      <c r="B16" s="114">
        <f t="shared" ca="1" si="1"/>
        <v>42748</v>
      </c>
      <c r="C16" s="113">
        <f t="shared" ca="1" si="0"/>
        <v>0</v>
      </c>
    </row>
    <row r="17" spans="1:3" x14ac:dyDescent="0.2">
      <c r="A17" s="113">
        <v>14</v>
      </c>
      <c r="B17" s="114">
        <f t="shared" ca="1" si="1"/>
        <v>42749</v>
      </c>
      <c r="C17" s="113">
        <f t="shared" ca="1" si="0"/>
        <v>0</v>
      </c>
    </row>
    <row r="18" spans="1:3" x14ac:dyDescent="0.2">
      <c r="A18" s="113">
        <v>15</v>
      </c>
      <c r="B18" s="114">
        <f t="shared" ca="1" si="1"/>
        <v>42750</v>
      </c>
      <c r="C18" s="113">
        <f t="shared" ca="1" si="0"/>
        <v>0</v>
      </c>
    </row>
    <row r="19" spans="1:3" x14ac:dyDescent="0.2">
      <c r="A19" s="113">
        <v>16</v>
      </c>
      <c r="B19" s="114">
        <f t="shared" ca="1" si="1"/>
        <v>42751</v>
      </c>
      <c r="C19" s="113">
        <f t="shared" ca="1" si="0"/>
        <v>1</v>
      </c>
    </row>
    <row r="20" spans="1:3" x14ac:dyDescent="0.2">
      <c r="A20" s="113">
        <v>17</v>
      </c>
      <c r="B20" s="114">
        <f t="shared" ca="1" si="1"/>
        <v>42752</v>
      </c>
      <c r="C20" s="113">
        <f t="shared" ca="1" si="0"/>
        <v>0</v>
      </c>
    </row>
    <row r="21" spans="1:3" x14ac:dyDescent="0.2">
      <c r="A21" s="113">
        <v>18</v>
      </c>
      <c r="B21" s="114">
        <f t="shared" ca="1" si="1"/>
        <v>42753</v>
      </c>
      <c r="C21" s="113">
        <f t="shared" ca="1" si="0"/>
        <v>0</v>
      </c>
    </row>
    <row r="22" spans="1:3" x14ac:dyDescent="0.2">
      <c r="A22" s="113">
        <v>19</v>
      </c>
      <c r="B22" s="114">
        <f t="shared" ca="1" si="1"/>
        <v>42754</v>
      </c>
      <c r="C22" s="113">
        <f t="shared" ca="1" si="0"/>
        <v>0</v>
      </c>
    </row>
    <row r="23" spans="1:3" x14ac:dyDescent="0.2">
      <c r="A23" s="113">
        <v>20</v>
      </c>
      <c r="B23" s="114">
        <f t="shared" ca="1" si="1"/>
        <v>42755</v>
      </c>
      <c r="C23" s="113">
        <f t="shared" ca="1" si="0"/>
        <v>0</v>
      </c>
    </row>
    <row r="24" spans="1:3" x14ac:dyDescent="0.2">
      <c r="A24" s="113">
        <v>21</v>
      </c>
      <c r="B24" s="114">
        <f t="shared" ca="1" si="1"/>
        <v>42756</v>
      </c>
      <c r="C24" s="113">
        <f t="shared" ca="1" si="0"/>
        <v>0</v>
      </c>
    </row>
    <row r="25" spans="1:3" x14ac:dyDescent="0.2">
      <c r="A25" s="113">
        <v>22</v>
      </c>
      <c r="B25" s="114">
        <f t="shared" ca="1" si="1"/>
        <v>42757</v>
      </c>
      <c r="C25" s="113">
        <f t="shared" ca="1" si="0"/>
        <v>0</v>
      </c>
    </row>
    <row r="26" spans="1:3" x14ac:dyDescent="0.2">
      <c r="A26" s="113">
        <v>23</v>
      </c>
      <c r="B26" s="114">
        <f t="shared" ca="1" si="1"/>
        <v>42758</v>
      </c>
      <c r="C26" s="113">
        <f t="shared" ca="1" si="0"/>
        <v>1</v>
      </c>
    </row>
    <row r="27" spans="1:3" x14ac:dyDescent="0.2">
      <c r="A27" s="113">
        <v>24</v>
      </c>
      <c r="B27" s="114">
        <f t="shared" ca="1" si="1"/>
        <v>42759</v>
      </c>
      <c r="C27" s="113">
        <f t="shared" ca="1" si="0"/>
        <v>0</v>
      </c>
    </row>
    <row r="28" spans="1:3" x14ac:dyDescent="0.2">
      <c r="A28" s="113">
        <v>25</v>
      </c>
      <c r="B28" s="114">
        <f t="shared" ca="1" si="1"/>
        <v>42760</v>
      </c>
      <c r="C28" s="113">
        <f t="shared" ca="1" si="0"/>
        <v>0</v>
      </c>
    </row>
    <row r="29" spans="1:3" x14ac:dyDescent="0.2">
      <c r="A29" s="113">
        <v>26</v>
      </c>
      <c r="B29" s="114">
        <f t="shared" ca="1" si="1"/>
        <v>42761</v>
      </c>
      <c r="C29" s="113">
        <f t="shared" ca="1" si="0"/>
        <v>0</v>
      </c>
    </row>
    <row r="30" spans="1:3" x14ac:dyDescent="0.2">
      <c r="A30" s="113">
        <v>27</v>
      </c>
      <c r="B30" s="114">
        <f t="shared" ca="1" si="1"/>
        <v>42762</v>
      </c>
      <c r="C30" s="113">
        <f t="shared" ca="1" si="0"/>
        <v>0</v>
      </c>
    </row>
    <row r="31" spans="1:3" x14ac:dyDescent="0.2">
      <c r="A31" s="113">
        <v>28</v>
      </c>
      <c r="B31" s="114">
        <f t="shared" ca="1" si="1"/>
        <v>42763</v>
      </c>
      <c r="C31" s="113">
        <f t="shared" ca="1" si="0"/>
        <v>0</v>
      </c>
    </row>
    <row r="32" spans="1:3" x14ac:dyDescent="0.2">
      <c r="A32" s="113">
        <v>29</v>
      </c>
      <c r="B32" s="114">
        <f t="shared" ca="1" si="1"/>
        <v>42764</v>
      </c>
      <c r="C32" s="113">
        <f t="shared" ca="1" si="0"/>
        <v>0</v>
      </c>
    </row>
    <row r="33" spans="1:3" x14ac:dyDescent="0.2">
      <c r="A33" s="113">
        <v>30</v>
      </c>
      <c r="B33" s="114">
        <f t="shared" ca="1" si="1"/>
        <v>42765</v>
      </c>
      <c r="C33" s="113">
        <f t="shared" ca="1" si="0"/>
        <v>1</v>
      </c>
    </row>
    <row r="34" spans="1:3" x14ac:dyDescent="0.2">
      <c r="A34" s="113">
        <v>31</v>
      </c>
      <c r="B34" s="114">
        <f t="shared" ca="1" si="1"/>
        <v>42766</v>
      </c>
      <c r="C34" s="113">
        <f t="shared" ca="1" si="0"/>
        <v>0</v>
      </c>
    </row>
    <row r="36" spans="1:3" x14ac:dyDescent="0.2">
      <c r="B36" s="115" t="s">
        <v>93</v>
      </c>
      <c r="C36" s="113">
        <f ca="1">SUM(C4:C34)</f>
        <v>5</v>
      </c>
    </row>
  </sheetData>
  <pageMargins left="0.75" right="0.75" top="1" bottom="1" header="0" footer="0"/>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D33"/>
  <sheetViews>
    <sheetView workbookViewId="0">
      <selection activeCell="H29" sqref="H29"/>
    </sheetView>
  </sheetViews>
  <sheetFormatPr baseColWidth="10" defaultRowHeight="15" x14ac:dyDescent="0.25"/>
  <cols>
    <col min="2" max="2" width="4.7109375" style="87" bestFit="1" customWidth="1"/>
    <col min="3" max="3" width="5" bestFit="1" customWidth="1"/>
    <col min="4" max="4" width="11.42578125" style="87"/>
    <col min="5" max="5" width="37.5703125" customWidth="1"/>
  </cols>
  <sheetData>
    <row r="2" spans="2:4" x14ac:dyDescent="0.25">
      <c r="B2" s="87" t="s">
        <v>218</v>
      </c>
      <c r="C2" t="s">
        <v>74</v>
      </c>
      <c r="D2" s="87" t="s">
        <v>219</v>
      </c>
    </row>
    <row r="3" spans="2:4" x14ac:dyDescent="0.25">
      <c r="B3" s="87">
        <v>5</v>
      </c>
      <c r="C3">
        <v>1989</v>
      </c>
      <c r="D3" s="300">
        <v>4</v>
      </c>
    </row>
    <row r="4" spans="2:4" x14ac:dyDescent="0.25">
      <c r="B4" s="87">
        <v>5</v>
      </c>
      <c r="C4">
        <v>1990</v>
      </c>
      <c r="D4" s="300">
        <v>6</v>
      </c>
    </row>
    <row r="5" spans="2:4" x14ac:dyDescent="0.25">
      <c r="B5" s="87">
        <v>5</v>
      </c>
      <c r="C5">
        <v>1991</v>
      </c>
      <c r="D5" s="300">
        <v>9</v>
      </c>
    </row>
    <row r="6" spans="2:4" x14ac:dyDescent="0.25">
      <c r="B6" s="87">
        <v>5</v>
      </c>
      <c r="C6">
        <v>1992</v>
      </c>
      <c r="D6" s="300">
        <v>9</v>
      </c>
    </row>
    <row r="7" spans="2:4" x14ac:dyDescent="0.25">
      <c r="B7" s="87">
        <v>5</v>
      </c>
      <c r="C7">
        <v>1993</v>
      </c>
      <c r="D7" s="300">
        <v>15</v>
      </c>
    </row>
    <row r="8" spans="2:4" x14ac:dyDescent="0.25">
      <c r="B8" s="87">
        <v>5</v>
      </c>
      <c r="C8">
        <v>1994</v>
      </c>
      <c r="D8" s="300">
        <v>15</v>
      </c>
    </row>
    <row r="9" spans="2:4" x14ac:dyDescent="0.25">
      <c r="B9" s="87">
        <v>5</v>
      </c>
      <c r="C9">
        <v>1995</v>
      </c>
      <c r="D9" s="300">
        <v>15</v>
      </c>
    </row>
    <row r="10" spans="2:4" x14ac:dyDescent="0.25">
      <c r="B10" s="87">
        <v>5</v>
      </c>
      <c r="C10">
        <v>1996</v>
      </c>
      <c r="D10" s="300">
        <v>20</v>
      </c>
    </row>
    <row r="11" spans="2:4" x14ac:dyDescent="0.25">
      <c r="B11" s="87">
        <v>5</v>
      </c>
      <c r="C11">
        <v>1997</v>
      </c>
      <c r="D11" s="300">
        <v>75</v>
      </c>
    </row>
    <row r="12" spans="2:4" x14ac:dyDescent="0.25">
      <c r="B12" s="87">
        <v>5</v>
      </c>
      <c r="C12">
        <v>1998</v>
      </c>
      <c r="D12" s="300">
        <v>100</v>
      </c>
    </row>
    <row r="13" spans="2:4" x14ac:dyDescent="0.25">
      <c r="B13" s="87">
        <v>5</v>
      </c>
      <c r="C13">
        <v>1999</v>
      </c>
      <c r="D13" s="300">
        <v>120</v>
      </c>
    </row>
    <row r="14" spans="2:4" x14ac:dyDescent="0.25">
      <c r="B14" s="87">
        <v>5</v>
      </c>
      <c r="C14">
        <v>2000</v>
      </c>
      <c r="D14" s="300">
        <v>144</v>
      </c>
    </row>
    <row r="15" spans="2:4" x14ac:dyDescent="0.25">
      <c r="B15" s="87">
        <v>5</v>
      </c>
      <c r="C15">
        <v>2001</v>
      </c>
      <c r="D15" s="300">
        <v>158</v>
      </c>
    </row>
    <row r="16" spans="2:4" x14ac:dyDescent="0.25">
      <c r="B16" s="87">
        <v>5</v>
      </c>
      <c r="C16">
        <v>2002</v>
      </c>
      <c r="D16" s="300">
        <v>190.08</v>
      </c>
    </row>
    <row r="17" spans="2:4" x14ac:dyDescent="0.25">
      <c r="B17" s="87">
        <v>5</v>
      </c>
      <c r="C17">
        <v>2003</v>
      </c>
      <c r="D17" s="300">
        <v>209.08</v>
      </c>
    </row>
    <row r="18" spans="2:4" x14ac:dyDescent="0.25">
      <c r="B18" s="87">
        <v>5</v>
      </c>
      <c r="C18">
        <v>2003</v>
      </c>
      <c r="D18" s="300">
        <v>247.1</v>
      </c>
    </row>
    <row r="19" spans="2:4" x14ac:dyDescent="0.25">
      <c r="B19" s="87">
        <v>5</v>
      </c>
      <c r="C19">
        <v>2004</v>
      </c>
      <c r="D19" s="300">
        <v>296.52</v>
      </c>
    </row>
    <row r="20" spans="2:4" x14ac:dyDescent="0.25">
      <c r="B20" s="87">
        <v>5</v>
      </c>
      <c r="C20">
        <v>2004</v>
      </c>
      <c r="D20" s="300">
        <v>321.26</v>
      </c>
    </row>
    <row r="21" spans="2:4" x14ac:dyDescent="0.25">
      <c r="B21" s="87">
        <v>5</v>
      </c>
      <c r="C21">
        <v>2005</v>
      </c>
      <c r="D21" s="300">
        <v>405</v>
      </c>
    </row>
    <row r="22" spans="2:4" x14ac:dyDescent="0.25">
      <c r="B22" s="87">
        <v>5</v>
      </c>
      <c r="C22">
        <v>2006</v>
      </c>
      <c r="D22" s="300">
        <v>465.75</v>
      </c>
    </row>
    <row r="23" spans="2:4" x14ac:dyDescent="0.25">
      <c r="B23" s="87">
        <v>5</v>
      </c>
      <c r="C23">
        <v>2006</v>
      </c>
      <c r="D23" s="300">
        <v>512.53499999999997</v>
      </c>
    </row>
    <row r="24" spans="2:4" x14ac:dyDescent="0.25">
      <c r="B24" s="87">
        <v>5</v>
      </c>
      <c r="C24">
        <v>2007</v>
      </c>
      <c r="D24" s="300">
        <v>614.79</v>
      </c>
    </row>
    <row r="25" spans="2:4" x14ac:dyDescent="0.25">
      <c r="B25" s="87">
        <v>4</v>
      </c>
      <c r="C25">
        <v>2008</v>
      </c>
      <c r="D25" s="300">
        <v>799.23</v>
      </c>
    </row>
    <row r="26" spans="2:4" x14ac:dyDescent="0.25">
      <c r="B26" s="87">
        <v>5</v>
      </c>
      <c r="C26">
        <v>2009</v>
      </c>
      <c r="D26" s="300">
        <v>879.3</v>
      </c>
    </row>
    <row r="27" spans="2:4" x14ac:dyDescent="0.25">
      <c r="B27" s="87">
        <v>9</v>
      </c>
      <c r="C27">
        <v>2009</v>
      </c>
      <c r="D27" s="300">
        <v>967.5</v>
      </c>
    </row>
    <row r="28" spans="2:4" x14ac:dyDescent="0.25">
      <c r="B28" s="87">
        <v>3</v>
      </c>
      <c r="C28">
        <v>2010</v>
      </c>
      <c r="D28" s="300">
        <v>1064.6500000000001</v>
      </c>
    </row>
    <row r="29" spans="2:4" x14ac:dyDescent="0.25">
      <c r="B29" s="87">
        <v>5</v>
      </c>
      <c r="C29">
        <v>2010</v>
      </c>
      <c r="D29" s="300">
        <v>1223.8900000000001</v>
      </c>
    </row>
    <row r="30" spans="2:4" x14ac:dyDescent="0.25">
      <c r="B30" s="87">
        <v>5</v>
      </c>
      <c r="C30">
        <v>2011</v>
      </c>
      <c r="D30" s="300">
        <v>1407.47</v>
      </c>
    </row>
    <row r="31" spans="2:4" x14ac:dyDescent="0.25">
      <c r="B31" s="87">
        <v>9</v>
      </c>
      <c r="C31">
        <v>2011</v>
      </c>
      <c r="D31" s="300">
        <v>1548.22</v>
      </c>
    </row>
    <row r="32" spans="2:4" x14ac:dyDescent="0.25">
      <c r="B32" s="87">
        <v>5</v>
      </c>
      <c r="C32">
        <v>2012</v>
      </c>
      <c r="D32" s="300">
        <v>1780.45</v>
      </c>
    </row>
    <row r="33" spans="2:4" x14ac:dyDescent="0.25">
      <c r="B33" s="87">
        <v>9</v>
      </c>
      <c r="C33">
        <v>2012</v>
      </c>
      <c r="D33" s="300">
        <v>2047</v>
      </c>
    </row>
  </sheetData>
  <pageMargins left="0.7" right="0.7" top="0.75" bottom="0.75" header="0.3" footer="0.3"/>
  <pageSetup paperSize="9" orientation="portrait" horizontalDpi="0" verticalDpi="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G34"/>
  <sheetViews>
    <sheetView workbookViewId="0">
      <selection activeCell="K12" sqref="K12"/>
    </sheetView>
  </sheetViews>
  <sheetFormatPr baseColWidth="10" defaultRowHeight="15" x14ac:dyDescent="0.25"/>
  <cols>
    <col min="1" max="1" width="2.85546875" customWidth="1"/>
    <col min="2" max="2" width="3.85546875" customWidth="1"/>
    <col min="3" max="3" width="14.85546875" bestFit="1" customWidth="1"/>
    <col min="4" max="4" width="9.42578125" customWidth="1"/>
    <col min="8" max="8" width="2.85546875" customWidth="1"/>
  </cols>
  <sheetData>
    <row r="2" spans="2:7" x14ac:dyDescent="0.25">
      <c r="B2" s="178" t="s">
        <v>221</v>
      </c>
      <c r="C2" s="179"/>
      <c r="D2" s="179"/>
      <c r="E2" s="180"/>
      <c r="F2" s="178" t="s">
        <v>223</v>
      </c>
      <c r="G2" s="180"/>
    </row>
    <row r="3" spans="2:7" x14ac:dyDescent="0.25">
      <c r="B3" s="190"/>
      <c r="C3" s="156"/>
      <c r="D3" s="156"/>
      <c r="E3" s="192"/>
      <c r="F3" s="190"/>
      <c r="G3" s="192"/>
    </row>
    <row r="4" spans="2:7" x14ac:dyDescent="0.25">
      <c r="B4" s="178" t="s">
        <v>222</v>
      </c>
      <c r="C4" s="179"/>
      <c r="D4" s="179" t="s">
        <v>224</v>
      </c>
      <c r="E4" s="179"/>
      <c r="F4" s="179" t="s">
        <v>225</v>
      </c>
      <c r="G4" s="180"/>
    </row>
    <row r="5" spans="2:7" x14ac:dyDescent="0.25">
      <c r="B5" s="190"/>
      <c r="C5" s="156"/>
      <c r="D5" s="156"/>
      <c r="E5" s="156"/>
      <c r="F5" s="156"/>
      <c r="G5" s="192"/>
    </row>
    <row r="6" spans="2:7" ht="9" customHeight="1" x14ac:dyDescent="0.25"/>
    <row r="7" spans="2:7" x14ac:dyDescent="0.25">
      <c r="B7" s="512" t="s">
        <v>226</v>
      </c>
      <c r="C7" s="512"/>
      <c r="D7" s="512"/>
      <c r="E7" s="512"/>
      <c r="F7" s="512" t="s">
        <v>25</v>
      </c>
      <c r="G7" s="512"/>
    </row>
    <row r="8" spans="2:7" x14ac:dyDescent="0.25">
      <c r="B8" s="512"/>
      <c r="C8" s="512"/>
      <c r="D8" s="512"/>
      <c r="E8" s="512"/>
      <c r="F8" s="512"/>
      <c r="G8" s="512"/>
    </row>
    <row r="9" spans="2:7" x14ac:dyDescent="0.25">
      <c r="B9" s="156">
        <v>1</v>
      </c>
      <c r="C9" s="156" t="s">
        <v>227</v>
      </c>
      <c r="D9" s="156"/>
      <c r="E9" s="156"/>
      <c r="F9" s="511">
        <f>Sueldo!D5</f>
        <v>90000</v>
      </c>
      <c r="G9" s="511"/>
    </row>
    <row r="10" spans="2:7" x14ac:dyDescent="0.25">
      <c r="B10" s="14">
        <v>2</v>
      </c>
      <c r="C10" s="14" t="s">
        <v>228</v>
      </c>
      <c r="D10" s="14"/>
      <c r="E10" s="14"/>
      <c r="F10" s="511">
        <v>0</v>
      </c>
      <c r="G10" s="511"/>
    </row>
    <row r="11" spans="2:7" x14ac:dyDescent="0.25">
      <c r="B11" s="14">
        <v>3</v>
      </c>
      <c r="C11" s="307" t="s">
        <v>229</v>
      </c>
      <c r="D11" s="14"/>
      <c r="E11" s="14"/>
      <c r="F11" s="511">
        <v>0</v>
      </c>
      <c r="G11" s="511"/>
    </row>
    <row r="12" spans="2:7" x14ac:dyDescent="0.25">
      <c r="B12" s="14">
        <v>4</v>
      </c>
      <c r="C12" s="307" t="s">
        <v>245</v>
      </c>
      <c r="D12" s="14"/>
      <c r="E12" s="14"/>
      <c r="F12" s="511">
        <v>0</v>
      </c>
      <c r="G12" s="511"/>
    </row>
    <row r="13" spans="2:7" x14ac:dyDescent="0.25">
      <c r="B13" s="14">
        <v>5</v>
      </c>
      <c r="C13" s="14" t="s">
        <v>230</v>
      </c>
      <c r="D13" s="14"/>
      <c r="E13" s="14"/>
      <c r="F13" s="511">
        <v>0</v>
      </c>
      <c r="G13" s="511"/>
    </row>
    <row r="14" spans="2:7" x14ac:dyDescent="0.25">
      <c r="B14" s="14">
        <v>6</v>
      </c>
      <c r="C14" s="14" t="s">
        <v>231</v>
      </c>
      <c r="D14" s="14"/>
      <c r="E14" s="14"/>
      <c r="F14" s="511">
        <v>0</v>
      </c>
      <c r="G14" s="511"/>
    </row>
    <row r="15" spans="2:7" x14ac:dyDescent="0.25">
      <c r="B15" s="14">
        <v>7</v>
      </c>
      <c r="C15" s="14" t="s">
        <v>232</v>
      </c>
      <c r="D15" s="14"/>
      <c r="E15" s="14"/>
      <c r="F15" s="511">
        <v>0</v>
      </c>
      <c r="G15" s="511"/>
    </row>
    <row r="16" spans="2:7" x14ac:dyDescent="0.25">
      <c r="B16" s="14">
        <v>8</v>
      </c>
      <c r="C16" s="14" t="s">
        <v>233</v>
      </c>
      <c r="D16" s="14"/>
      <c r="E16" s="14"/>
      <c r="F16" s="511">
        <v>0</v>
      </c>
      <c r="G16" s="511"/>
    </row>
    <row r="17" spans="2:7" x14ac:dyDescent="0.25">
      <c r="B17" s="14"/>
      <c r="C17" s="14"/>
      <c r="D17" s="14"/>
      <c r="E17" s="14"/>
      <c r="F17" s="511">
        <v>0</v>
      </c>
      <c r="G17" s="511"/>
    </row>
    <row r="18" spans="2:7" x14ac:dyDescent="0.25">
      <c r="B18" s="14"/>
      <c r="C18" s="14"/>
      <c r="D18" s="14"/>
      <c r="E18" s="14"/>
      <c r="F18" s="511">
        <v>0</v>
      </c>
      <c r="G18" s="511"/>
    </row>
    <row r="19" spans="2:7" ht="7.5" customHeight="1" x14ac:dyDescent="0.25"/>
    <row r="20" spans="2:7" x14ac:dyDescent="0.25">
      <c r="E20" s="308" t="s">
        <v>234</v>
      </c>
      <c r="F20" s="513">
        <f>SUM(F9:G18)</f>
        <v>90000</v>
      </c>
      <c r="G20" s="514"/>
    </row>
    <row r="22" spans="2:7" x14ac:dyDescent="0.25">
      <c r="B22" s="512" t="s">
        <v>52</v>
      </c>
      <c r="C22" s="512"/>
      <c r="D22" s="512"/>
      <c r="E22" s="512"/>
      <c r="F22" s="512" t="s">
        <v>25</v>
      </c>
      <c r="G22" s="512"/>
    </row>
    <row r="23" spans="2:7" x14ac:dyDescent="0.25">
      <c r="B23" s="512"/>
      <c r="C23" s="512"/>
      <c r="D23" s="512"/>
      <c r="E23" s="512"/>
      <c r="F23" s="512"/>
      <c r="G23" s="512"/>
    </row>
    <row r="24" spans="2:7" x14ac:dyDescent="0.25">
      <c r="B24" s="156">
        <v>1</v>
      </c>
      <c r="C24" s="156" t="s">
        <v>235</v>
      </c>
      <c r="D24" s="156"/>
      <c r="E24" s="156"/>
      <c r="F24" s="511">
        <f ca="1">Descuentos!C11</f>
        <v>4153.8461538461543</v>
      </c>
      <c r="G24" s="511"/>
    </row>
    <row r="25" spans="2:7" x14ac:dyDescent="0.25">
      <c r="B25" s="156">
        <v>2</v>
      </c>
      <c r="C25" s="156" t="s">
        <v>236</v>
      </c>
      <c r="D25" s="156"/>
      <c r="E25" s="156"/>
      <c r="F25" s="511">
        <f ca="1">Descuentos!C23</f>
        <v>519.23076923076928</v>
      </c>
      <c r="G25" s="511"/>
    </row>
    <row r="26" spans="2:7" x14ac:dyDescent="0.25">
      <c r="B26" s="156">
        <v>3</v>
      </c>
      <c r="C26" s="156" t="s">
        <v>237</v>
      </c>
      <c r="D26" s="156"/>
      <c r="E26" s="156"/>
      <c r="F26" s="511">
        <v>0</v>
      </c>
      <c r="G26" s="511"/>
    </row>
    <row r="27" spans="2:7" x14ac:dyDescent="0.25">
      <c r="B27" s="156">
        <v>4</v>
      </c>
      <c r="C27" s="156" t="s">
        <v>238</v>
      </c>
      <c r="D27" s="156"/>
      <c r="E27" s="156"/>
      <c r="F27" s="511">
        <f>Descuentos!C31</f>
        <v>900</v>
      </c>
      <c r="G27" s="511"/>
    </row>
    <row r="28" spans="2:7" x14ac:dyDescent="0.25">
      <c r="B28" s="156">
        <v>5</v>
      </c>
      <c r="C28" s="156" t="s">
        <v>239</v>
      </c>
      <c r="D28" s="156"/>
      <c r="E28" s="156"/>
      <c r="F28" s="511">
        <v>0</v>
      </c>
      <c r="G28" s="511"/>
    </row>
    <row r="29" spans="2:7" x14ac:dyDescent="0.25">
      <c r="B29" s="156">
        <v>6</v>
      </c>
      <c r="C29" s="156" t="s">
        <v>240</v>
      </c>
      <c r="D29" s="156"/>
      <c r="E29" s="156"/>
      <c r="F29" s="511">
        <v>0</v>
      </c>
      <c r="G29" s="511"/>
    </row>
    <row r="30" spans="2:7" x14ac:dyDescent="0.25">
      <c r="B30" s="156">
        <v>7</v>
      </c>
      <c r="C30" s="156" t="s">
        <v>241</v>
      </c>
      <c r="D30" s="156"/>
      <c r="E30" s="156"/>
      <c r="F30" s="511">
        <v>0</v>
      </c>
      <c r="G30" s="511"/>
    </row>
    <row r="31" spans="2:7" x14ac:dyDescent="0.25">
      <c r="B31" s="156">
        <v>8</v>
      </c>
      <c r="C31" s="156" t="s">
        <v>242</v>
      </c>
      <c r="D31" s="156"/>
      <c r="E31" s="156"/>
      <c r="F31" s="511">
        <v>0</v>
      </c>
      <c r="G31" s="511"/>
    </row>
    <row r="32" spans="2:7" x14ac:dyDescent="0.25">
      <c r="B32" s="156">
        <v>9</v>
      </c>
      <c r="C32" s="156" t="s">
        <v>243</v>
      </c>
      <c r="D32" s="156"/>
      <c r="E32" s="156"/>
      <c r="F32" s="511">
        <v>0</v>
      </c>
      <c r="G32" s="511"/>
    </row>
    <row r="33" spans="5:7" ht="7.5" customHeight="1" x14ac:dyDescent="0.25"/>
    <row r="34" spans="5:7" x14ac:dyDescent="0.25">
      <c r="E34" s="308" t="s">
        <v>244</v>
      </c>
      <c r="F34" s="513">
        <f ca="1">SUM(F24:G32)</f>
        <v>5573.0769230769238</v>
      </c>
      <c r="G34" s="514"/>
    </row>
  </sheetData>
  <mergeCells count="25">
    <mergeCell ref="B22:E23"/>
    <mergeCell ref="F22:G23"/>
    <mergeCell ref="F24:G24"/>
    <mergeCell ref="F25:G25"/>
    <mergeCell ref="F26:G26"/>
    <mergeCell ref="F15:G15"/>
    <mergeCell ref="F16:G16"/>
    <mergeCell ref="F17:G17"/>
    <mergeCell ref="F34:G34"/>
    <mergeCell ref="F27:G27"/>
    <mergeCell ref="F28:G28"/>
    <mergeCell ref="F29:G29"/>
    <mergeCell ref="F30:G30"/>
    <mergeCell ref="F31:G31"/>
    <mergeCell ref="F32:G32"/>
    <mergeCell ref="F18:G18"/>
    <mergeCell ref="F20:G20"/>
    <mergeCell ref="F13:G13"/>
    <mergeCell ref="F14:G14"/>
    <mergeCell ref="F12:G12"/>
    <mergeCell ref="B7:E8"/>
    <mergeCell ref="F7:G8"/>
    <mergeCell ref="F9:G9"/>
    <mergeCell ref="F10:G10"/>
    <mergeCell ref="F11:G11"/>
  </mergeCells>
  <dataValidations count="2">
    <dataValidation type="list" allowBlank="1" showInputMessage="1" showErrorMessage="1" sqref="C12">
      <formula1>"Domingo,Feriado,Festivos"</formula1>
    </dataValidation>
    <dataValidation type="list" allowBlank="1" showInputMessage="1" showErrorMessage="1" sqref="C11">
      <formula1>"Comisiones,Destajo,Por Tarea"</formula1>
    </dataValidation>
  </dataValidations>
  <pageMargins left="1" right="1" top="1" bottom="1" header="0.5" footer="0.5"/>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19</vt:i4>
      </vt:variant>
      <vt:variant>
        <vt:lpstr>Rangos con nombre</vt:lpstr>
      </vt:variant>
      <vt:variant>
        <vt:i4>3</vt:i4>
      </vt:variant>
    </vt:vector>
  </HeadingPairs>
  <TitlesOfParts>
    <vt:vector size="22" baseType="lpstr">
      <vt:lpstr>About (2)</vt:lpstr>
      <vt:lpstr>Main</vt:lpstr>
      <vt:lpstr>Sueldo</vt:lpstr>
      <vt:lpstr>Quincena</vt:lpstr>
      <vt:lpstr>Descuentos</vt:lpstr>
      <vt:lpstr>Utilidades</vt:lpstr>
      <vt:lpstr>Vacaciones</vt:lpstr>
      <vt:lpstr>Salario Integral Calc</vt:lpstr>
      <vt:lpstr>Salario Integral</vt:lpstr>
      <vt:lpstr>Prestaciones</vt:lpstr>
      <vt:lpstr>InteresPres</vt:lpstr>
      <vt:lpstr>Cesta T</vt:lpstr>
      <vt:lpstr>Liquidacion</vt:lpstr>
      <vt:lpstr>About</vt:lpstr>
      <vt:lpstr>HoraExtra_BonoNoct</vt:lpstr>
      <vt:lpstr>FECHAS</vt:lpstr>
      <vt:lpstr>Lunes C</vt:lpstr>
      <vt:lpstr>Salario minimo</vt:lpstr>
      <vt:lpstr>Recibo_Pago</vt:lpstr>
      <vt:lpstr>Descuentos!Área_de_impresión</vt:lpstr>
      <vt:lpstr>Prestaciones!Área_de_impresión</vt:lpstr>
      <vt:lpstr>Prestaciones!Títulos_a_imprimir</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Calculos Salariels</dc:title>
  <dc:creator>Fidel Moreno</dc:creator>
  <cp:keywords>CALCULO; LOTTT</cp:keywords>
  <cp:lastModifiedBy>INGEMA</cp:lastModifiedBy>
  <cp:lastPrinted>2012-09-11T18:33:36Z</cp:lastPrinted>
  <dcterms:created xsi:type="dcterms:W3CDTF">2012-05-24T20:29:22Z</dcterms:created>
  <dcterms:modified xsi:type="dcterms:W3CDTF">2017-01-16T11:50:48Z</dcterms:modified>
  <cp:category>CALCULOS SALARIALES</cp:category>
</cp:coreProperties>
</file>